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myers\Downloads\"/>
    </mc:Choice>
  </mc:AlternateContent>
  <bookViews>
    <workbookView xWindow="0" yWindow="0" windowWidth="28800" windowHeight="12330" tabRatio="646"/>
  </bookViews>
  <sheets>
    <sheet name="Principles" sheetId="1" r:id="rId1"/>
    <sheet name="Inputs" sheetId="2" r:id="rId2"/>
    <sheet name="Intermediates" sheetId="3" r:id="rId3"/>
    <sheet name="Upgrading and Injection Capital" sheetId="18" r:id="rId4"/>
    <sheet name="Results" sheetId="4" r:id="rId5"/>
    <sheet name="Digestate Land Balance" sheetId="12" r:id="rId6"/>
    <sheet name="All Sens Sheets--&gt;" sheetId="32" r:id="rId7"/>
    <sheet name="Distance Effects" sheetId="26" r:id="rId8"/>
    <sheet name="Sensitivity" sheetId="11" r:id="rId9"/>
    <sheet name="Intermediates Sensitivity" sheetId="17" r:id="rId10"/>
    <sheet name="Combined Sens" sheetId="20" r:id="rId11"/>
    <sheet name="S2 Combined Sens" sheetId="31" r:id="rId12"/>
    <sheet name="Combi_LCFSRINSENS" sheetId="28" r:id="rId13"/>
    <sheet name="LCFS Only Sens" sheetId="29" r:id="rId14"/>
    <sheet name="RIN Only Sens" sheetId="30" r:id="rId15"/>
    <sheet name="Unit Conversions" sheetId="6" r:id="rId16"/>
    <sheet name="HCER" sheetId="14" r:id="rId17"/>
    <sheet name="scratch" sheetId="23" r:id="rId18"/>
  </sheets>
  <functionGroups builtInGroupCount="18"/>
  <definedNames>
    <definedName name="acperha">'Unit Conversions'!$B$11</definedName>
    <definedName name="btuperrin">'Unit Conversions'!$B$26</definedName>
    <definedName name="btupgj">'Unit Conversions'!$B$4</definedName>
    <definedName name="cftom3">'Unit Conversions'!$B$16</definedName>
    <definedName name="ch4energybtupft3">'Unit Conversions'!$B$20</definedName>
    <definedName name="kilo">'Unit Conversions'!$B$2</definedName>
    <definedName name="kwhpergj">'Unit Conversions'!$B$7</definedName>
    <definedName name="lbperkg">'Unit Conversions'!$B$12</definedName>
    <definedName name="lbsperkg">'Unit Conversions'!$B$14</definedName>
    <definedName name="lbsperton">'Unit Conversions'!$B$13</definedName>
    <definedName name="literperm3">'Unit Conversions'!$B$3</definedName>
    <definedName name="literpgal">'Unit Conversions'!$B$6</definedName>
    <definedName name="m3pft3">'Unit Conversions'!$B$9</definedName>
    <definedName name="meterpermile">'Unit Conversions'!$B$8</definedName>
    <definedName name="million">'Unit Conversions'!$B$5</definedName>
    <definedName name="minperhr">'Unit Conversions'!$B$15</definedName>
    <definedName name="solver_adj" localSheetId="1" hidden="1">Inputs!#REF!</definedName>
    <definedName name="solver_cvg" localSheetId="4" hidden="1">0.0001</definedName>
    <definedName name="solver_drv" localSheetId="4" hidden="1">1</definedName>
    <definedName name="solver_eng" localSheetId="1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4" hidden="1">2147483647</definedName>
    <definedName name="solver_num" localSheetId="1" hidden="1">0</definedName>
    <definedName name="solver_num" localSheetId="4" hidden="1">0</definedName>
    <definedName name="solver_nwt" localSheetId="4" hidden="1">1</definedName>
    <definedName name="solver_opt" localSheetId="4" hidden="1">Results!#REF!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3</definedName>
    <definedName name="solver_typ" localSheetId="4" hidden="1">3</definedName>
    <definedName name="solver_val" localSheetId="1" hidden="1">10.14</definedName>
    <definedName name="solver_val" localSheetId="4" hidden="1">10.14</definedName>
    <definedName name="solver_ver" localSheetId="1" hidden="1">3</definedName>
    <definedName name="solver_ver" localSheetId="4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26" l="1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6" i="26"/>
  <c r="G21" i="3" l="1"/>
  <c r="G56" i="3"/>
  <c r="B42" i="4"/>
  <c r="C41" i="2"/>
  <c r="C42" i="2" s="1"/>
  <c r="G28" i="3"/>
  <c r="H19" i="3"/>
  <c r="H146" i="3"/>
  <c r="H147" i="3" s="1"/>
  <c r="H137" i="3"/>
  <c r="H126" i="3"/>
  <c r="H127" i="3" s="1"/>
  <c r="H107" i="3"/>
  <c r="H109" i="3" s="1"/>
  <c r="H104" i="3"/>
  <c r="H103" i="3"/>
  <c r="H101" i="3"/>
  <c r="H81" i="3"/>
  <c r="H82" i="3" s="1"/>
  <c r="H78" i="3"/>
  <c r="H74" i="3"/>
  <c r="H62" i="3"/>
  <c r="H63" i="3" s="1"/>
  <c r="H59" i="3"/>
  <c r="H60" i="3" s="1"/>
  <c r="H42" i="3"/>
  <c r="H45" i="3" s="1"/>
  <c r="H15" i="3"/>
  <c r="H4" i="3"/>
  <c r="H6" i="3" s="1"/>
  <c r="H3" i="3"/>
  <c r="H2" i="3"/>
  <c r="H41" i="2"/>
  <c r="H42" i="2" s="1"/>
  <c r="G41" i="2"/>
  <c r="G42" i="2" s="1"/>
  <c r="G39" i="2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1" i="20"/>
  <c r="G62" i="3"/>
  <c r="G81" i="3"/>
  <c r="G2" i="17"/>
  <c r="H2" i="17"/>
  <c r="G3" i="17"/>
  <c r="H3" i="17"/>
  <c r="G4" i="17"/>
  <c r="H4" i="17"/>
  <c r="G5" i="17"/>
  <c r="H5" i="17"/>
  <c r="G6" i="17"/>
  <c r="H6" i="17"/>
  <c r="G7" i="17"/>
  <c r="H7" i="17"/>
  <c r="G8" i="17"/>
  <c r="H8" i="17"/>
  <c r="G9" i="17"/>
  <c r="H9" i="17"/>
  <c r="G10" i="17"/>
  <c r="H10" i="17"/>
  <c r="G11" i="17"/>
  <c r="H11" i="17"/>
  <c r="G12" i="17"/>
  <c r="H12" i="17"/>
  <c r="G13" i="17"/>
  <c r="H13" i="17"/>
  <c r="G14" i="17"/>
  <c r="H14" i="17"/>
  <c r="G15" i="17"/>
  <c r="H15" i="17"/>
  <c r="G16" i="17"/>
  <c r="H16" i="17"/>
  <c r="G17" i="17"/>
  <c r="H17" i="17"/>
  <c r="G18" i="17"/>
  <c r="H18" i="17"/>
  <c r="G19" i="17"/>
  <c r="H19" i="17"/>
  <c r="G20" i="17"/>
  <c r="H20" i="17"/>
  <c r="G21" i="17"/>
  <c r="H21" i="17"/>
  <c r="G22" i="17"/>
  <c r="H22" i="17"/>
  <c r="G23" i="17"/>
  <c r="H23" i="17"/>
  <c r="G24" i="17"/>
  <c r="H24" i="17"/>
  <c r="G25" i="17"/>
  <c r="H25" i="17"/>
  <c r="G26" i="17"/>
  <c r="H26" i="17"/>
  <c r="H84" i="3" l="1"/>
  <c r="H83" i="3"/>
  <c r="H85" i="3" s="1"/>
  <c r="H86" i="3" s="1"/>
  <c r="H105" i="3"/>
  <c r="H12" i="3"/>
  <c r="H7" i="3"/>
  <c r="H8" i="3" s="1"/>
  <c r="H11" i="3"/>
  <c r="H25" i="3"/>
  <c r="H43" i="3"/>
  <c r="H44" i="3"/>
  <c r="H5" i="3"/>
  <c r="H121" i="3" s="1"/>
  <c r="H13" i="3"/>
  <c r="E6" i="29"/>
  <c r="F81" i="3"/>
  <c r="A6" i="26"/>
  <c r="A8" i="26"/>
  <c r="A10" i="26"/>
  <c r="A12" i="26"/>
  <c r="A14" i="26"/>
  <c r="A16" i="26"/>
  <c r="A18" i="26"/>
  <c r="A20" i="26"/>
  <c r="A22" i="26"/>
  <c r="A24" i="26"/>
  <c r="A26" i="26"/>
  <c r="A28" i="26"/>
  <c r="A30" i="26"/>
  <c r="A32" i="26"/>
  <c r="A34" i="26"/>
  <c r="A36" i="26"/>
  <c r="A38" i="26"/>
  <c r="A40" i="26"/>
  <c r="A42" i="26"/>
  <c r="A44" i="26"/>
  <c r="A46" i="26"/>
  <c r="H27" i="3" l="1"/>
  <c r="H141" i="3" s="1"/>
  <c r="H148" i="3"/>
  <c r="H119" i="3"/>
  <c r="H9" i="3"/>
  <c r="H130" i="3"/>
  <c r="H123" i="3"/>
  <c r="D109" i="3"/>
  <c r="H68" i="3" l="1"/>
  <c r="H70" i="3" s="1"/>
  <c r="H10" i="3"/>
  <c r="H65" i="3" s="1"/>
  <c r="H66" i="3" s="1"/>
  <c r="E22" i="18"/>
  <c r="H71" i="3" l="1"/>
  <c r="H23" i="3"/>
  <c r="H18" i="3"/>
  <c r="H128" i="3" s="1"/>
  <c r="H17" i="3"/>
  <c r="H21" i="3" s="1"/>
  <c r="H56" i="3" s="1"/>
  <c r="H61" i="3" s="1"/>
  <c r="H26" i="3"/>
  <c r="H41" i="3"/>
  <c r="H29" i="3"/>
  <c r="C8" i="12"/>
  <c r="C7" i="12" s="1"/>
  <c r="D8" i="12"/>
  <c r="D7" i="12" s="1"/>
  <c r="D13" i="12" s="1"/>
  <c r="D17" i="12" s="1"/>
  <c r="E8" i="12"/>
  <c r="E7" i="12" s="1"/>
  <c r="E13" i="12" s="1"/>
  <c r="E17" i="12" s="1"/>
  <c r="F8" i="12"/>
  <c r="F7" i="12" s="1"/>
  <c r="F13" i="12" s="1"/>
  <c r="F17" i="12" s="1"/>
  <c r="C10" i="12"/>
  <c r="D10" i="12"/>
  <c r="E10" i="12"/>
  <c r="F10" i="12"/>
  <c r="F16" i="12"/>
  <c r="D41" i="2"/>
  <c r="D42" i="2" s="1"/>
  <c r="C4" i="12" s="1"/>
  <c r="E41" i="2"/>
  <c r="E42" i="2" s="1"/>
  <c r="D4" i="12" s="1"/>
  <c r="F41" i="2"/>
  <c r="F42" i="2" s="1"/>
  <c r="E4" i="12" s="1"/>
  <c r="F4" i="12"/>
  <c r="H131" i="3" l="1"/>
  <c r="H132" i="3"/>
  <c r="H133" i="3" s="1"/>
  <c r="H134" i="3" s="1"/>
  <c r="H136" i="3" s="1"/>
  <c r="H135" i="3"/>
  <c r="H28" i="3"/>
  <c r="H142" i="3" s="1"/>
  <c r="H143" i="3" s="1"/>
  <c r="H144" i="3" s="1"/>
  <c r="H31" i="3"/>
  <c r="H20" i="3"/>
  <c r="H22" i="3"/>
  <c r="H24" i="3"/>
  <c r="H95" i="3"/>
  <c r="H96" i="3" s="1"/>
  <c r="C14" i="12"/>
  <c r="E14" i="12"/>
  <c r="D14" i="12"/>
  <c r="F14" i="12"/>
  <c r="F18" i="12" s="1"/>
  <c r="H114" i="3" l="1"/>
  <c r="H115" i="3" s="1"/>
  <c r="H32" i="3"/>
  <c r="H33" i="3" s="1"/>
  <c r="H37" i="3" s="1"/>
  <c r="H34" i="3"/>
  <c r="C33" i="23"/>
  <c r="C31" i="23"/>
  <c r="C32" i="23"/>
  <c r="C30" i="23"/>
  <c r="M6" i="26"/>
  <c r="M46" i="26"/>
  <c r="M44" i="26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I46" i="26"/>
  <c r="I44" i="26"/>
  <c r="I42" i="26"/>
  <c r="I40" i="26"/>
  <c r="I38" i="26"/>
  <c r="I36" i="26"/>
  <c r="I34" i="26"/>
  <c r="I32" i="26"/>
  <c r="I30" i="26"/>
  <c r="I28" i="26"/>
  <c r="I26" i="26"/>
  <c r="I24" i="26"/>
  <c r="I22" i="26"/>
  <c r="I20" i="26"/>
  <c r="I18" i="26"/>
  <c r="I16" i="26"/>
  <c r="I14" i="26"/>
  <c r="I12" i="26"/>
  <c r="I10" i="26"/>
  <c r="I8" i="26"/>
  <c r="I6" i="26"/>
  <c r="E6" i="26"/>
  <c r="E46" i="26"/>
  <c r="E44" i="26"/>
  <c r="E42" i="26"/>
  <c r="E40" i="26"/>
  <c r="E38" i="26"/>
  <c r="E36" i="26"/>
  <c r="E34" i="26"/>
  <c r="E32" i="26"/>
  <c r="E30" i="26"/>
  <c r="E28" i="26"/>
  <c r="E26" i="26"/>
  <c r="E24" i="26"/>
  <c r="E22" i="26"/>
  <c r="E20" i="26"/>
  <c r="E18" i="26"/>
  <c r="E16" i="26"/>
  <c r="E14" i="26"/>
  <c r="E12" i="26"/>
  <c r="E10" i="26"/>
  <c r="E8" i="26"/>
  <c r="H46" i="3" l="1"/>
  <c r="H36" i="3"/>
  <c r="H35" i="3"/>
  <c r="H39" i="3"/>
  <c r="H38" i="3"/>
  <c r="H138" i="3" s="1"/>
  <c r="H139" i="3" s="1"/>
  <c r="H97" i="3"/>
  <c r="I26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12" i="17"/>
  <c r="I11" i="17"/>
  <c r="I10" i="17"/>
  <c r="I9" i="17"/>
  <c r="I8" i="17"/>
  <c r="I7" i="17"/>
  <c r="I6" i="17"/>
  <c r="I5" i="17"/>
  <c r="I4" i="17"/>
  <c r="I3" i="17"/>
  <c r="I2" i="17"/>
  <c r="H112" i="3" l="1"/>
  <c r="H117" i="3"/>
  <c r="H120" i="3" s="1"/>
  <c r="H110" i="3"/>
  <c r="H47" i="3"/>
  <c r="H49" i="3" s="1"/>
  <c r="H116" i="3" s="1"/>
  <c r="H48" i="3"/>
  <c r="H50" i="3"/>
  <c r="H51" i="3" s="1"/>
  <c r="H52" i="3" s="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6" i="31"/>
  <c r="E5" i="31"/>
  <c r="F5" i="31" s="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7" i="28" l="1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E19" i="28"/>
  <c r="E20" i="28"/>
  <c r="E21" i="28"/>
  <c r="E22" i="28"/>
  <c r="E23" i="28"/>
  <c r="E24" i="28"/>
  <c r="E25" i="28"/>
  <c r="E26" i="28"/>
  <c r="E27" i="28"/>
  <c r="E28" i="28"/>
  <c r="E29" i="28"/>
  <c r="F29" i="28" s="1"/>
  <c r="E30" i="28"/>
  <c r="E31" i="28"/>
  <c r="E32" i="28"/>
  <c r="E33" i="28"/>
  <c r="E34" i="28"/>
  <c r="E35" i="28"/>
  <c r="E36" i="28"/>
  <c r="E37" i="28"/>
  <c r="E38" i="28"/>
  <c r="E39" i="28"/>
  <c r="E40" i="28"/>
  <c r="E41" i="28"/>
  <c r="F41" i="28" s="1"/>
  <c r="E42" i="28"/>
  <c r="E43" i="28"/>
  <c r="E44" i="28"/>
  <c r="E45" i="28"/>
  <c r="E46" i="28"/>
  <c r="E47" i="28"/>
  <c r="E48" i="28"/>
  <c r="E49" i="28"/>
  <c r="E50" i="28"/>
  <c r="E51" i="28"/>
  <c r="E52" i="28"/>
  <c r="E53" i="28"/>
  <c r="F53" i="28" s="1"/>
  <c r="E54" i="28"/>
  <c r="E55" i="28"/>
  <c r="E56" i="28"/>
  <c r="E57" i="28"/>
  <c r="E58" i="28"/>
  <c r="E59" i="28"/>
  <c r="E60" i="28"/>
  <c r="E61" i="28"/>
  <c r="E62" i="28"/>
  <c r="E63" i="28"/>
  <c r="E64" i="28"/>
  <c r="E65" i="28"/>
  <c r="F65" i="28" s="1"/>
  <c r="E66" i="28"/>
  <c r="E67" i="28"/>
  <c r="E68" i="28"/>
  <c r="E69" i="28"/>
  <c r="E70" i="28"/>
  <c r="E71" i="28"/>
  <c r="E72" i="28"/>
  <c r="E73" i="28"/>
  <c r="E74" i="28"/>
  <c r="E75" i="28"/>
  <c r="E76" i="28"/>
  <c r="E77" i="28"/>
  <c r="F77" i="28" s="1"/>
  <c r="E78" i="28"/>
  <c r="E79" i="28"/>
  <c r="E80" i="28"/>
  <c r="E81" i="28"/>
  <c r="E82" i="28"/>
  <c r="E83" i="28"/>
  <c r="E84" i="28"/>
  <c r="E85" i="28"/>
  <c r="E86" i="28"/>
  <c r="E6" i="28"/>
  <c r="E7" i="30"/>
  <c r="E8" i="30"/>
  <c r="E9" i="30"/>
  <c r="E10" i="30"/>
  <c r="E11" i="30"/>
  <c r="E12" i="30"/>
  <c r="E13" i="30"/>
  <c r="E14" i="30"/>
  <c r="E15" i="30"/>
  <c r="E16" i="30"/>
  <c r="E17" i="30"/>
  <c r="F17" i="30" s="1"/>
  <c r="E18" i="30"/>
  <c r="F18" i="30" s="1"/>
  <c r="E19" i="30"/>
  <c r="E20" i="30"/>
  <c r="E21" i="30"/>
  <c r="E22" i="30"/>
  <c r="E23" i="30"/>
  <c r="E24" i="30"/>
  <c r="E25" i="30"/>
  <c r="E26" i="30"/>
  <c r="E27" i="30"/>
  <c r="E28" i="30"/>
  <c r="E29" i="30"/>
  <c r="F29" i="30" s="1"/>
  <c r="E30" i="30"/>
  <c r="F30" i="30" s="1"/>
  <c r="E31" i="30"/>
  <c r="E32" i="30"/>
  <c r="E33" i="30"/>
  <c r="E34" i="30"/>
  <c r="E35" i="30"/>
  <c r="E36" i="30"/>
  <c r="E37" i="30"/>
  <c r="E38" i="30"/>
  <c r="E39" i="30"/>
  <c r="E40" i="30"/>
  <c r="E41" i="30"/>
  <c r="F41" i="30" s="1"/>
  <c r="E42" i="30"/>
  <c r="F42" i="30" s="1"/>
  <c r="E43" i="30"/>
  <c r="E44" i="30"/>
  <c r="E45" i="30"/>
  <c r="E46" i="30"/>
  <c r="E47" i="30"/>
  <c r="E48" i="30"/>
  <c r="E49" i="30"/>
  <c r="E50" i="30"/>
  <c r="E51" i="30"/>
  <c r="E52" i="30"/>
  <c r="E53" i="30"/>
  <c r="F53" i="30" s="1"/>
  <c r="E54" i="30"/>
  <c r="F54" i="30" s="1"/>
  <c r="E55" i="30"/>
  <c r="E56" i="30"/>
  <c r="E57" i="30"/>
  <c r="E58" i="30"/>
  <c r="E59" i="30"/>
  <c r="E60" i="30"/>
  <c r="E61" i="30"/>
  <c r="E62" i="30"/>
  <c r="E63" i="30"/>
  <c r="E64" i="30"/>
  <c r="E65" i="30"/>
  <c r="F65" i="30" s="1"/>
  <c r="E66" i="30"/>
  <c r="F66" i="30" s="1"/>
  <c r="E67" i="30"/>
  <c r="E68" i="30"/>
  <c r="E69" i="30"/>
  <c r="E70" i="30"/>
  <c r="E71" i="30"/>
  <c r="E72" i="30"/>
  <c r="E73" i="30"/>
  <c r="E74" i="30"/>
  <c r="E75" i="30"/>
  <c r="E76" i="30"/>
  <c r="E77" i="30"/>
  <c r="F77" i="30" s="1"/>
  <c r="E78" i="30"/>
  <c r="F78" i="30" s="1"/>
  <c r="E79" i="30"/>
  <c r="E80" i="30"/>
  <c r="E81" i="30"/>
  <c r="E82" i="30"/>
  <c r="E83" i="30"/>
  <c r="F83" i="30" s="1"/>
  <c r="E84" i="30"/>
  <c r="F84" i="30" s="1"/>
  <c r="E85" i="30"/>
  <c r="F85" i="30" s="1"/>
  <c r="E86" i="30"/>
  <c r="E6" i="30"/>
  <c r="F86" i="30"/>
  <c r="F82" i="30"/>
  <c r="F81" i="30"/>
  <c r="F80" i="30"/>
  <c r="F79" i="30"/>
  <c r="F76" i="30"/>
  <c r="F75" i="30"/>
  <c r="F74" i="30"/>
  <c r="F73" i="30"/>
  <c r="F72" i="30"/>
  <c r="F71" i="30"/>
  <c r="F70" i="30"/>
  <c r="F69" i="30"/>
  <c r="F68" i="30"/>
  <c r="F67" i="30"/>
  <c r="F64" i="30"/>
  <c r="F63" i="30"/>
  <c r="F62" i="30"/>
  <c r="F61" i="30"/>
  <c r="F60" i="30"/>
  <c r="F59" i="30"/>
  <c r="F58" i="30"/>
  <c r="F57" i="30"/>
  <c r="F56" i="30"/>
  <c r="F55" i="30"/>
  <c r="F52" i="30"/>
  <c r="F51" i="30"/>
  <c r="F50" i="30"/>
  <c r="F49" i="30"/>
  <c r="F48" i="30"/>
  <c r="F47" i="30"/>
  <c r="F46" i="30"/>
  <c r="F45" i="30"/>
  <c r="F44" i="30"/>
  <c r="F43" i="30"/>
  <c r="F40" i="30"/>
  <c r="F39" i="30"/>
  <c r="F38" i="30"/>
  <c r="F37" i="30"/>
  <c r="F36" i="30"/>
  <c r="F35" i="30"/>
  <c r="F34" i="30"/>
  <c r="F33" i="30"/>
  <c r="F32" i="30"/>
  <c r="F31" i="30"/>
  <c r="F28" i="30"/>
  <c r="F27" i="30"/>
  <c r="F26" i="30"/>
  <c r="F25" i="30"/>
  <c r="F24" i="30"/>
  <c r="F23" i="30"/>
  <c r="F22" i="30"/>
  <c r="F21" i="30"/>
  <c r="F20" i="30"/>
  <c r="F19" i="30"/>
  <c r="F16" i="30"/>
  <c r="F15" i="30"/>
  <c r="F14" i="30"/>
  <c r="F13" i="30"/>
  <c r="F12" i="30"/>
  <c r="F11" i="30"/>
  <c r="F10" i="30"/>
  <c r="F9" i="30"/>
  <c r="F8" i="30"/>
  <c r="F7" i="30"/>
  <c r="F5" i="30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F42" i="29" s="1"/>
  <c r="E43" i="29"/>
  <c r="E44" i="29"/>
  <c r="E45" i="29"/>
  <c r="E46" i="29"/>
  <c r="E47" i="29"/>
  <c r="E48" i="29"/>
  <c r="E49" i="29"/>
  <c r="E50" i="29"/>
  <c r="E51" i="29"/>
  <c r="E52" i="29"/>
  <c r="E53" i="29"/>
  <c r="E54" i="29"/>
  <c r="F54" i="29" s="1"/>
  <c r="E55" i="29"/>
  <c r="E56" i="29"/>
  <c r="E57" i="29"/>
  <c r="E58" i="29"/>
  <c r="E59" i="29"/>
  <c r="E60" i="29"/>
  <c r="E61" i="29"/>
  <c r="E62" i="29"/>
  <c r="E63" i="29"/>
  <c r="E64" i="29"/>
  <c r="E65" i="29"/>
  <c r="E66" i="29"/>
  <c r="F66" i="29" s="1"/>
  <c r="E67" i="29"/>
  <c r="E68" i="29"/>
  <c r="E69" i="29"/>
  <c r="E70" i="29"/>
  <c r="E71" i="29"/>
  <c r="E72" i="29"/>
  <c r="E73" i="29"/>
  <c r="E74" i="29"/>
  <c r="E75" i="29"/>
  <c r="E76" i="29"/>
  <c r="F76" i="29" s="1"/>
  <c r="E77" i="29"/>
  <c r="F77" i="29" s="1"/>
  <c r="E78" i="29"/>
  <c r="F78" i="29" s="1"/>
  <c r="E79" i="29"/>
  <c r="E80" i="29"/>
  <c r="E81" i="29"/>
  <c r="E82" i="29"/>
  <c r="F82" i="29" s="1"/>
  <c r="E83" i="29"/>
  <c r="F83" i="29" s="1"/>
  <c r="E84" i="29"/>
  <c r="E85" i="29"/>
  <c r="E86" i="29"/>
  <c r="F86" i="29"/>
  <c r="F85" i="29"/>
  <c r="F84" i="29"/>
  <c r="F81" i="29"/>
  <c r="F80" i="29"/>
  <c r="F79" i="29"/>
  <c r="F75" i="29"/>
  <c r="F74" i="29"/>
  <c r="F73" i="29"/>
  <c r="F72" i="29"/>
  <c r="F71" i="29"/>
  <c r="F70" i="29"/>
  <c r="F69" i="29"/>
  <c r="F68" i="29"/>
  <c r="F67" i="29"/>
  <c r="F65" i="29"/>
  <c r="F64" i="29"/>
  <c r="F63" i="29"/>
  <c r="F62" i="29"/>
  <c r="F61" i="29"/>
  <c r="F60" i="29"/>
  <c r="F59" i="29"/>
  <c r="F58" i="29"/>
  <c r="F57" i="29"/>
  <c r="F56" i="29"/>
  <c r="F55" i="29"/>
  <c r="F53" i="29"/>
  <c r="F52" i="29"/>
  <c r="F51" i="29"/>
  <c r="F50" i="29"/>
  <c r="F49" i="29"/>
  <c r="F48" i="29"/>
  <c r="F47" i="29"/>
  <c r="F46" i="29"/>
  <c r="F45" i="29"/>
  <c r="F44" i="29"/>
  <c r="F43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5" i="28"/>
  <c r="F6" i="28"/>
  <c r="F7" i="28"/>
  <c r="F8" i="28"/>
  <c r="F9" i="28"/>
  <c r="F10" i="28"/>
  <c r="F11" i="28"/>
  <c r="F12" i="28"/>
  <c r="F13" i="28"/>
  <c r="F14" i="28"/>
  <c r="F15" i="28"/>
  <c r="F18" i="28"/>
  <c r="F19" i="28"/>
  <c r="F20" i="28"/>
  <c r="F21" i="28"/>
  <c r="F22" i="28"/>
  <c r="F23" i="28"/>
  <c r="F24" i="28"/>
  <c r="F25" i="28"/>
  <c r="F26" i="28"/>
  <c r="F27" i="28"/>
  <c r="F28" i="28"/>
  <c r="F30" i="28"/>
  <c r="F31" i="28"/>
  <c r="F32" i="28"/>
  <c r="F33" i="28"/>
  <c r="F34" i="28"/>
  <c r="F35" i="28"/>
  <c r="F36" i="28"/>
  <c r="F37" i="28"/>
  <c r="F38" i="28"/>
  <c r="F39" i="28"/>
  <c r="F40" i="28"/>
  <c r="F42" i="28"/>
  <c r="F43" i="28"/>
  <c r="F44" i="28"/>
  <c r="F45" i="28"/>
  <c r="F46" i="28"/>
  <c r="F47" i="28"/>
  <c r="F48" i="28"/>
  <c r="F49" i="28"/>
  <c r="F50" i="28"/>
  <c r="F51" i="28"/>
  <c r="F52" i="28"/>
  <c r="F54" i="28"/>
  <c r="F55" i="28"/>
  <c r="F56" i="28"/>
  <c r="F57" i="28"/>
  <c r="F58" i="28"/>
  <c r="F59" i="28"/>
  <c r="F60" i="28"/>
  <c r="F61" i="28"/>
  <c r="F62" i="28"/>
  <c r="F63" i="28"/>
  <c r="F64" i="28"/>
  <c r="F66" i="28"/>
  <c r="F67" i="28"/>
  <c r="F68" i="28"/>
  <c r="F69" i="28"/>
  <c r="F70" i="28"/>
  <c r="F71" i="28"/>
  <c r="F72" i="28"/>
  <c r="F73" i="28"/>
  <c r="F74" i="28"/>
  <c r="F75" i="28"/>
  <c r="F76" i="28"/>
  <c r="F78" i="28"/>
  <c r="F79" i="28"/>
  <c r="F80" i="28"/>
  <c r="F81" i="28"/>
  <c r="F82" i="28"/>
  <c r="F83" i="28"/>
  <c r="F84" i="28"/>
  <c r="F85" i="28"/>
  <c r="F86" i="28"/>
  <c r="G7" i="4" l="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2" i="11"/>
  <c r="H37" i="11"/>
  <c r="I37" i="11" s="1"/>
  <c r="H38" i="11"/>
  <c r="I38" i="11" s="1"/>
  <c r="H39" i="11"/>
  <c r="I39" i="11" s="1"/>
  <c r="H40" i="11"/>
  <c r="I40" i="11" s="1"/>
  <c r="H41" i="11"/>
  <c r="I41" i="11" s="1"/>
  <c r="F62" i="3" l="1"/>
  <c r="G6" i="4" l="1"/>
  <c r="G8" i="4" s="1"/>
  <c r="B9" i="4"/>
  <c r="B7" i="4"/>
  <c r="C146" i="3"/>
  <c r="C147" i="3" s="1"/>
  <c r="C137" i="3"/>
  <c r="C126" i="3"/>
  <c r="C127" i="3" s="1"/>
  <c r="C107" i="3"/>
  <c r="C109" i="3" s="1"/>
  <c r="C104" i="3"/>
  <c r="C103" i="3"/>
  <c r="C101" i="3"/>
  <c r="C81" i="3"/>
  <c r="C82" i="3" s="1"/>
  <c r="C84" i="3" s="1"/>
  <c r="C74" i="3"/>
  <c r="C76" i="3" s="1"/>
  <c r="C78" i="3" s="1"/>
  <c r="C62" i="3"/>
  <c r="C63" i="3" s="1"/>
  <c r="C59" i="3"/>
  <c r="C60" i="3" s="1"/>
  <c r="C42" i="3"/>
  <c r="C45" i="3" s="1"/>
  <c r="C15" i="3"/>
  <c r="C4" i="3"/>
  <c r="C5" i="3" s="1"/>
  <c r="C121" i="3" s="1"/>
  <c r="C3" i="3"/>
  <c r="C2" i="3"/>
  <c r="C39" i="2"/>
  <c r="D9" i="4"/>
  <c r="E9" i="4"/>
  <c r="C43" i="3" l="1"/>
  <c r="C44" i="3"/>
  <c r="G9" i="4"/>
  <c r="C130" i="3"/>
  <c r="C123" i="3"/>
  <c r="B6" i="4" s="1"/>
  <c r="B8" i="4" s="1"/>
  <c r="C13" i="3"/>
  <c r="C6" i="3"/>
  <c r="C25" i="3" s="1"/>
  <c r="C27" i="3" s="1"/>
  <c r="C83" i="3"/>
  <c r="C85" i="3" s="1"/>
  <c r="C86" i="3" s="1"/>
  <c r="F24" i="12"/>
  <c r="G13" i="4" l="1"/>
  <c r="G15" i="4"/>
  <c r="C148" i="3"/>
  <c r="C14" i="3"/>
  <c r="C12" i="3"/>
  <c r="C11" i="3"/>
  <c r="C7" i="3"/>
  <c r="C8" i="3" s="1"/>
  <c r="G3" i="4" l="1"/>
  <c r="G2" i="4"/>
  <c r="G20" i="4" s="1"/>
  <c r="C141" i="3"/>
  <c r="C9" i="3"/>
  <c r="C119" i="3"/>
  <c r="G39" i="4" l="1"/>
  <c r="G41" i="4"/>
  <c r="G14" i="4"/>
  <c r="G27" i="4" s="1"/>
  <c r="G31" i="18"/>
  <c r="G32" i="18" s="1"/>
  <c r="G33" i="18" s="1"/>
  <c r="H94" i="3" s="1"/>
  <c r="H98" i="3" s="1"/>
  <c r="G26" i="4"/>
  <c r="G28" i="4"/>
  <c r="G19" i="4"/>
  <c r="G22" i="4"/>
  <c r="G32" i="4"/>
  <c r="G35" i="4"/>
  <c r="G33" i="4"/>
  <c r="G34" i="4"/>
  <c r="C19" i="3"/>
  <c r="C18" i="3"/>
  <c r="C128" i="3" s="1"/>
  <c r="C17" i="3"/>
  <c r="C21" i="3" s="1"/>
  <c r="C56" i="3" s="1"/>
  <c r="C61" i="3" s="1"/>
  <c r="C26" i="3"/>
  <c r="C41" i="3"/>
  <c r="C29" i="3"/>
  <c r="C68" i="3"/>
  <c r="C70" i="3" s="1"/>
  <c r="C10" i="3"/>
  <c r="C65" i="3" s="1"/>
  <c r="C66" i="3" s="1"/>
  <c r="F82" i="3"/>
  <c r="G11" i="4" l="1"/>
  <c r="F84" i="3"/>
  <c r="G40" i="4"/>
  <c r="G42" i="4" s="1"/>
  <c r="G10" i="4"/>
  <c r="G21" i="4"/>
  <c r="C71" i="3"/>
  <c r="C95" i="3" s="1"/>
  <c r="C96" i="3" s="1"/>
  <c r="C20" i="3"/>
  <c r="C22" i="3"/>
  <c r="C24" i="3"/>
  <c r="C28" i="3"/>
  <c r="C142" i="3" s="1"/>
  <c r="C143" i="3" s="1"/>
  <c r="C144" i="3" s="1"/>
  <c r="B15" i="4" s="1"/>
  <c r="C31" i="3"/>
  <c r="C34" i="3" s="1"/>
  <c r="C23" i="3"/>
  <c r="C131" i="3"/>
  <c r="C135" i="3"/>
  <c r="C132" i="3"/>
  <c r="G24" i="4" l="1"/>
  <c r="G37" i="4"/>
  <c r="G23" i="4"/>
  <c r="G36" i="4"/>
  <c r="G12" i="4"/>
  <c r="G16" i="4"/>
  <c r="C133" i="3"/>
  <c r="C134" i="3" s="1"/>
  <c r="C136" i="3" s="1"/>
  <c r="B13" i="4" s="1"/>
  <c r="C32" i="3"/>
  <c r="C33" i="3" s="1"/>
  <c r="C37" i="3" s="1"/>
  <c r="G82" i="3"/>
  <c r="G84" i="3" l="1"/>
  <c r="G29" i="4"/>
  <c r="G25" i="4"/>
  <c r="C97" i="3"/>
  <c r="B3" i="4"/>
  <c r="G38" i="4"/>
  <c r="G43" i="4"/>
  <c r="B31" i="18"/>
  <c r="B32" i="18" s="1"/>
  <c r="B33" i="18" s="1"/>
  <c r="C94" i="3" s="1"/>
  <c r="C38" i="3"/>
  <c r="C138" i="3" s="1"/>
  <c r="C139" i="3" s="1"/>
  <c r="B14" i="4" s="1"/>
  <c r="C46" i="3"/>
  <c r="C36" i="3"/>
  <c r="B2" i="4" s="1"/>
  <c r="C35" i="3"/>
  <c r="B18" i="18"/>
  <c r="B19" i="18" s="1"/>
  <c r="C12" i="18"/>
  <c r="D12" i="18"/>
  <c r="E12" i="18"/>
  <c r="B12" i="18"/>
  <c r="E126" i="3"/>
  <c r="E127" i="3" s="1"/>
  <c r="D25" i="12" s="1"/>
  <c r="F126" i="3"/>
  <c r="F127" i="3" s="1"/>
  <c r="E25" i="12" s="1"/>
  <c r="G126" i="3"/>
  <c r="G127" i="3" s="1"/>
  <c r="F25" i="12" s="1"/>
  <c r="D126" i="3"/>
  <c r="D127" i="3" s="1"/>
  <c r="C25" i="12" s="1"/>
  <c r="G104" i="3"/>
  <c r="C98" i="3" l="1"/>
  <c r="C112" i="3" s="1"/>
  <c r="B39" i="4"/>
  <c r="B32" i="4"/>
  <c r="B33" i="4"/>
  <c r="B35" i="4"/>
  <c r="B34" i="4"/>
  <c r="B41" i="4"/>
  <c r="B26" i="4"/>
  <c r="B19" i="4"/>
  <c r="B22" i="4"/>
  <c r="B20" i="4"/>
  <c r="B28" i="4"/>
  <c r="B40" i="4"/>
  <c r="B27" i="4"/>
  <c r="G46" i="4"/>
  <c r="C117" i="3"/>
  <c r="C120" i="3" s="1"/>
  <c r="C110" i="3"/>
  <c r="C47" i="3"/>
  <c r="C49" i="3" s="1"/>
  <c r="C116" i="3" s="1"/>
  <c r="C48" i="3"/>
  <c r="C39" i="3"/>
  <c r="E104" i="3"/>
  <c r="F104" i="3"/>
  <c r="D104" i="3"/>
  <c r="H3" i="11"/>
  <c r="I3" i="11" s="1"/>
  <c r="H4" i="11"/>
  <c r="I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2" i="11"/>
  <c r="I2" i="11" s="1"/>
  <c r="B10" i="4" l="1"/>
  <c r="B23" i="4" s="1"/>
  <c r="C50" i="3"/>
  <c r="C51" i="3" s="1"/>
  <c r="C52" i="3" s="1"/>
  <c r="B11" i="4"/>
  <c r="B21" i="4"/>
  <c r="E74" i="3"/>
  <c r="F74" i="3"/>
  <c r="G74" i="3"/>
  <c r="D74" i="3"/>
  <c r="B36" i="4" l="1"/>
  <c r="D76" i="3"/>
  <c r="D78" i="3" s="1"/>
  <c r="E76" i="3"/>
  <c r="E78" i="3" s="1"/>
  <c r="F76" i="3"/>
  <c r="F78" i="3" s="1"/>
  <c r="B24" i="4"/>
  <c r="B25" i="4" s="1"/>
  <c r="B37" i="4"/>
  <c r="B16" i="4"/>
  <c r="B12" i="4"/>
  <c r="G78" i="3"/>
  <c r="E103" i="3"/>
  <c r="F103" i="3"/>
  <c r="G103" i="3"/>
  <c r="D103" i="3"/>
  <c r="B29" i="4" l="1"/>
  <c r="B43" i="4"/>
  <c r="B38" i="4"/>
  <c r="D101" i="3"/>
  <c r="B46" i="4" l="1"/>
  <c r="H26" i="6"/>
  <c r="E59" i="3" l="1"/>
  <c r="E60" i="3" s="1"/>
  <c r="F59" i="3"/>
  <c r="F60" i="3" s="1"/>
  <c r="G59" i="3"/>
  <c r="G60" i="3" s="1"/>
  <c r="D59" i="3"/>
  <c r="D60" i="3" s="1"/>
  <c r="E81" i="3" l="1"/>
  <c r="E82" i="3" s="1"/>
  <c r="D81" i="3"/>
  <c r="D82" i="3" s="1"/>
  <c r="D83" i="3" s="1"/>
  <c r="D62" i="3"/>
  <c r="D63" i="3" s="1"/>
  <c r="E62" i="3"/>
  <c r="E63" i="3" s="1"/>
  <c r="F63" i="3"/>
  <c r="G63" i="3"/>
  <c r="C20" i="18" l="1"/>
  <c r="C21" i="18" s="1"/>
  <c r="C22" i="18" s="1"/>
  <c r="C23" i="18" s="1"/>
  <c r="D20" i="18"/>
  <c r="D21" i="18" s="1"/>
  <c r="D22" i="18" s="1"/>
  <c r="D23" i="18" s="1"/>
  <c r="E20" i="18"/>
  <c r="E21" i="18" s="1"/>
  <c r="E23" i="18" s="1"/>
  <c r="B20" i="18"/>
  <c r="B21" i="18" s="1"/>
  <c r="B22" i="18" s="1"/>
  <c r="B23" i="18" s="1"/>
  <c r="B24" i="18" s="1"/>
  <c r="C18" i="18"/>
  <c r="C19" i="18" s="1"/>
  <c r="D18" i="18"/>
  <c r="D19" i="18" s="1"/>
  <c r="E18" i="18"/>
  <c r="E19" i="18" s="1"/>
  <c r="E24" i="18" l="1"/>
  <c r="E25" i="18"/>
  <c r="D24" i="18"/>
  <c r="D25" i="18"/>
  <c r="C24" i="18"/>
  <c r="C25" i="18"/>
  <c r="B25" i="18"/>
  <c r="D28" i="12" l="1"/>
  <c r="E28" i="12"/>
  <c r="F28" i="12"/>
  <c r="C28" i="12"/>
  <c r="D39" i="2"/>
  <c r="C16" i="12" s="1"/>
  <c r="E39" i="2"/>
  <c r="F39" i="2"/>
  <c r="F32" i="12"/>
  <c r="E101" i="3"/>
  <c r="F101" i="3"/>
  <c r="G101" i="3"/>
  <c r="D16" i="12" l="1"/>
  <c r="D18" i="12" s="1"/>
  <c r="E16" i="12"/>
  <c r="E18" i="12" s="1"/>
  <c r="C32" i="12"/>
  <c r="C18" i="12"/>
  <c r="C24" i="12"/>
  <c r="E24" i="12"/>
  <c r="D24" i="12"/>
  <c r="E32" i="12" l="1"/>
  <c r="D32" i="12"/>
  <c r="E146" i="3"/>
  <c r="E147" i="3" s="1"/>
  <c r="F146" i="3"/>
  <c r="F147" i="3" s="1"/>
  <c r="G146" i="3"/>
  <c r="G147" i="3" s="1"/>
  <c r="E137" i="3"/>
  <c r="F137" i="3"/>
  <c r="G137" i="3"/>
  <c r="E107" i="3"/>
  <c r="E109" i="3" s="1"/>
  <c r="F107" i="3"/>
  <c r="F109" i="3" s="1"/>
  <c r="G107" i="3"/>
  <c r="G109" i="3" s="1"/>
  <c r="E83" i="3"/>
  <c r="E42" i="3"/>
  <c r="F42" i="3"/>
  <c r="F43" i="3" s="1"/>
  <c r="G42" i="3"/>
  <c r="G45" i="3" s="1"/>
  <c r="E15" i="3"/>
  <c r="F15" i="3"/>
  <c r="G15" i="3"/>
  <c r="E4" i="3"/>
  <c r="F4" i="3"/>
  <c r="G4" i="3"/>
  <c r="G5" i="3" s="1"/>
  <c r="D4" i="3"/>
  <c r="D5" i="3" s="1"/>
  <c r="D121" i="3" s="1"/>
  <c r="D123" i="3" s="1"/>
  <c r="E3" i="3"/>
  <c r="F3" i="3"/>
  <c r="G3" i="3"/>
  <c r="E2" i="3"/>
  <c r="F2" i="3"/>
  <c r="G2" i="3"/>
  <c r="D130" i="3" l="1"/>
  <c r="C6" i="4"/>
  <c r="G121" i="3"/>
  <c r="F5" i="3"/>
  <c r="E5" i="3"/>
  <c r="E13" i="3"/>
  <c r="G6" i="3"/>
  <c r="G7" i="3" s="1"/>
  <c r="F13" i="3"/>
  <c r="E6" i="3"/>
  <c r="E7" i="3" s="1"/>
  <c r="F44" i="3"/>
  <c r="G13" i="3"/>
  <c r="G43" i="3"/>
  <c r="F45" i="3"/>
  <c r="F6" i="3"/>
  <c r="F7" i="3" s="1"/>
  <c r="G44" i="3"/>
  <c r="E43" i="3"/>
  <c r="E45" i="3"/>
  <c r="E44" i="3"/>
  <c r="E84" i="3"/>
  <c r="E85" i="3" s="1"/>
  <c r="E86" i="3" s="1"/>
  <c r="G130" i="3" l="1"/>
  <c r="G123" i="3"/>
  <c r="F6" i="4" s="1"/>
  <c r="E121" i="3"/>
  <c r="E130" i="3" s="1"/>
  <c r="F121" i="3"/>
  <c r="F130" i="3" s="1"/>
  <c r="E12" i="3"/>
  <c r="C3" i="23" s="1"/>
  <c r="E8" i="3"/>
  <c r="E9" i="3" s="1"/>
  <c r="D27" i="12" s="1"/>
  <c r="D29" i="12" s="1"/>
  <c r="G11" i="3"/>
  <c r="P13" i="23" s="1"/>
  <c r="G8" i="3"/>
  <c r="G105" i="3" s="1"/>
  <c r="F25" i="3"/>
  <c r="F27" i="3" s="1"/>
  <c r="F141" i="3" s="1"/>
  <c r="F8" i="3"/>
  <c r="F9" i="3" s="1"/>
  <c r="E27" i="12" s="1"/>
  <c r="E29" i="12" s="1"/>
  <c r="G25" i="3"/>
  <c r="G27" i="3" s="1"/>
  <c r="E25" i="3"/>
  <c r="E27" i="3" s="1"/>
  <c r="E141" i="3" s="1"/>
  <c r="F14" i="3"/>
  <c r="F148" i="3"/>
  <c r="E14" i="3"/>
  <c r="E148" i="3"/>
  <c r="G14" i="3"/>
  <c r="G148" i="3"/>
  <c r="G12" i="3"/>
  <c r="E3" i="23" s="1"/>
  <c r="E11" i="3"/>
  <c r="N13" i="23" s="1"/>
  <c r="F12" i="3"/>
  <c r="D3" i="23" s="1"/>
  <c r="F11" i="3"/>
  <c r="O13" i="23" s="1"/>
  <c r="G141" i="3" l="1"/>
  <c r="E123" i="3"/>
  <c r="D6" i="4" s="1"/>
  <c r="F123" i="3"/>
  <c r="E6" i="4" s="1"/>
  <c r="G9" i="3"/>
  <c r="F9" i="4"/>
  <c r="G119" i="3"/>
  <c r="E10" i="3"/>
  <c r="E65" i="3" s="1"/>
  <c r="E66" i="3" s="1"/>
  <c r="E119" i="3"/>
  <c r="F68" i="3"/>
  <c r="F70" i="3" s="1"/>
  <c r="F119" i="3"/>
  <c r="G16" i="3"/>
  <c r="G18" i="3" s="1"/>
  <c r="F10" i="3"/>
  <c r="F65" i="3" s="1"/>
  <c r="F66" i="3" s="1"/>
  <c r="F16" i="3"/>
  <c r="E16" i="3"/>
  <c r="D146" i="3"/>
  <c r="D137" i="3"/>
  <c r="D7" i="4" l="1"/>
  <c r="D8" i="4" s="1"/>
  <c r="N14" i="23"/>
  <c r="E7" i="4"/>
  <c r="E8" i="4" s="1"/>
  <c r="O14" i="23"/>
  <c r="F3" i="12"/>
  <c r="F5" i="12" s="1"/>
  <c r="P14" i="23"/>
  <c r="G17" i="3"/>
  <c r="F7" i="4"/>
  <c r="G68" i="3"/>
  <c r="G70" i="3" s="1"/>
  <c r="F27" i="12"/>
  <c r="F29" i="12" s="1"/>
  <c r="C4" i="23"/>
  <c r="C5" i="23" s="1"/>
  <c r="D4" i="23"/>
  <c r="D5" i="23" s="1"/>
  <c r="E4" i="23"/>
  <c r="E5" i="23" s="1"/>
  <c r="G10" i="3"/>
  <c r="G65" i="3" s="1"/>
  <c r="G66" i="3" s="1"/>
  <c r="E68" i="3"/>
  <c r="E70" i="3" s="1"/>
  <c r="E71" i="3" s="1"/>
  <c r="G29" i="3"/>
  <c r="G26" i="3"/>
  <c r="G31" i="3" s="1"/>
  <c r="G114" i="3" s="1"/>
  <c r="G19" i="3"/>
  <c r="G20" i="3" s="1"/>
  <c r="G41" i="3"/>
  <c r="F71" i="3"/>
  <c r="E19" i="3"/>
  <c r="E20" i="3" s="1"/>
  <c r="F17" i="3"/>
  <c r="F21" i="3" s="1"/>
  <c r="F56" i="3" s="1"/>
  <c r="F61" i="3" s="1"/>
  <c r="F29" i="3"/>
  <c r="F19" i="3"/>
  <c r="F22" i="3" s="1"/>
  <c r="F41" i="3"/>
  <c r="F26" i="3"/>
  <c r="E26" i="3"/>
  <c r="E17" i="3"/>
  <c r="E21" i="3" s="1"/>
  <c r="E56" i="3" s="1"/>
  <c r="E61" i="3" s="1"/>
  <c r="E29" i="3"/>
  <c r="E41" i="3"/>
  <c r="F8" i="4" l="1"/>
  <c r="F33" i="4"/>
  <c r="G61" i="3"/>
  <c r="E7" i="23"/>
  <c r="E8" i="23" s="1"/>
  <c r="E9" i="23" s="1"/>
  <c r="F6" i="12"/>
  <c r="F20" i="12" s="1"/>
  <c r="F19" i="12"/>
  <c r="P15" i="23"/>
  <c r="P17" i="23" s="1"/>
  <c r="O15" i="23"/>
  <c r="O17" i="23" s="1"/>
  <c r="N15" i="23"/>
  <c r="N17" i="23" s="1"/>
  <c r="G71" i="3"/>
  <c r="G23" i="3"/>
  <c r="G22" i="3"/>
  <c r="G24" i="3"/>
  <c r="E95" i="3"/>
  <c r="G34" i="3"/>
  <c r="E6" i="23" s="1"/>
  <c r="G32" i="3"/>
  <c r="G33" i="3" s="1"/>
  <c r="G37" i="3" s="1"/>
  <c r="E31" i="3"/>
  <c r="E114" i="3" s="1"/>
  <c r="E28" i="3"/>
  <c r="E142" i="3" s="1"/>
  <c r="F31" i="3"/>
  <c r="F114" i="3" s="1"/>
  <c r="F28" i="3"/>
  <c r="F142" i="3" s="1"/>
  <c r="E23" i="3"/>
  <c r="E24" i="3"/>
  <c r="E22" i="3"/>
  <c r="F24" i="3"/>
  <c r="F20" i="3"/>
  <c r="F23" i="3"/>
  <c r="D3" i="3"/>
  <c r="D2" i="3"/>
  <c r="D42" i="3"/>
  <c r="D43" i="3" s="1"/>
  <c r="C7" i="23" l="1"/>
  <c r="C8" i="23" s="1"/>
  <c r="C9" i="23" s="1"/>
  <c r="P16" i="23"/>
  <c r="P18" i="23" s="1"/>
  <c r="N16" i="23"/>
  <c r="N18" i="23" s="1"/>
  <c r="O16" i="23"/>
  <c r="O18" i="23" s="1"/>
  <c r="G142" i="3"/>
  <c r="G143" i="3" s="1"/>
  <c r="G144" i="3" s="1"/>
  <c r="F15" i="4" s="1"/>
  <c r="G38" i="3"/>
  <c r="G138" i="3" s="1"/>
  <c r="G139" i="3" s="1"/>
  <c r="F14" i="4" s="1"/>
  <c r="F31" i="18"/>
  <c r="F32" i="18" s="1"/>
  <c r="F33" i="18" s="1"/>
  <c r="G94" i="3" s="1"/>
  <c r="F143" i="3"/>
  <c r="F144" i="3" s="1"/>
  <c r="E15" i="4" s="1"/>
  <c r="E143" i="3"/>
  <c r="E144" i="3" s="1"/>
  <c r="D15" i="4" s="1"/>
  <c r="F32" i="3"/>
  <c r="F33" i="3" s="1"/>
  <c r="F37" i="3" s="1"/>
  <c r="D7" i="23"/>
  <c r="D8" i="23" s="1"/>
  <c r="D9" i="23" s="1"/>
  <c r="F34" i="3"/>
  <c r="E32" i="3"/>
  <c r="E33" i="3" s="1"/>
  <c r="E37" i="3" s="1"/>
  <c r="G35" i="3"/>
  <c r="G36" i="3"/>
  <c r="G39" i="3" s="1"/>
  <c r="G46" i="3"/>
  <c r="G48" i="3" s="1"/>
  <c r="E34" i="3"/>
  <c r="D45" i="3"/>
  <c r="D44" i="3"/>
  <c r="G115" i="3" l="1"/>
  <c r="G83" i="3"/>
  <c r="G85" i="3" s="1"/>
  <c r="G86" i="3" s="1"/>
  <c r="G95" i="3" s="1"/>
  <c r="G96" i="3" s="1"/>
  <c r="G97" i="3" s="1"/>
  <c r="G112" i="3" s="1"/>
  <c r="E38" i="3"/>
  <c r="E138" i="3" s="1"/>
  <c r="E139" i="3" s="1"/>
  <c r="D14" i="4" s="1"/>
  <c r="D31" i="18"/>
  <c r="D32" i="18" s="1"/>
  <c r="F38" i="3"/>
  <c r="F138" i="3" s="1"/>
  <c r="F139" i="3" s="1"/>
  <c r="E14" i="4" s="1"/>
  <c r="E31" i="18"/>
  <c r="E46" i="3"/>
  <c r="E48" i="3" s="1"/>
  <c r="C6" i="23"/>
  <c r="F36" i="3"/>
  <c r="F110" i="3" s="1"/>
  <c r="D6" i="23"/>
  <c r="F35" i="3"/>
  <c r="F115" i="3" s="1"/>
  <c r="G117" i="3"/>
  <c r="G120" i="3" s="1"/>
  <c r="G110" i="3"/>
  <c r="F46" i="3"/>
  <c r="F48" i="3" s="1"/>
  <c r="G47" i="3"/>
  <c r="G49" i="3" s="1"/>
  <c r="E35" i="3"/>
  <c r="E115" i="3" s="1"/>
  <c r="E36" i="3"/>
  <c r="E117" i="3" s="1"/>
  <c r="E120" i="3" s="1"/>
  <c r="D147" i="3"/>
  <c r="G50" i="3" l="1"/>
  <c r="G51" i="3" s="1"/>
  <c r="G52" i="3" s="1"/>
  <c r="G98" i="3"/>
  <c r="F10" i="4" s="1"/>
  <c r="F83" i="3"/>
  <c r="F85" i="3" s="1"/>
  <c r="F86" i="3" s="1"/>
  <c r="F95" i="3" s="1"/>
  <c r="F96" i="3" s="1"/>
  <c r="F97" i="3" s="1"/>
  <c r="F112" i="3" s="1"/>
  <c r="D33" i="18"/>
  <c r="E94" i="3" s="1"/>
  <c r="E47" i="3"/>
  <c r="E49" i="3" s="1"/>
  <c r="E32" i="18"/>
  <c r="E33" i="18" s="1"/>
  <c r="F94" i="3" s="1"/>
  <c r="F117" i="3"/>
  <c r="F120" i="3" s="1"/>
  <c r="F39" i="3"/>
  <c r="E110" i="3"/>
  <c r="F47" i="3"/>
  <c r="F49" i="3" s="1"/>
  <c r="G116" i="3"/>
  <c r="F11" i="4" s="1"/>
  <c r="E39" i="3"/>
  <c r="E96" i="3"/>
  <c r="E97" i="3" s="1"/>
  <c r="E112" i="3" s="1"/>
  <c r="D84" i="3"/>
  <c r="D85" i="3" s="1"/>
  <c r="D86" i="3" s="1"/>
  <c r="D6" i="3"/>
  <c r="E50" i="3" l="1"/>
  <c r="E51" i="3" s="1"/>
  <c r="E52" i="3" s="1"/>
  <c r="F12" i="4"/>
  <c r="E116" i="3"/>
  <c r="D11" i="4" s="1"/>
  <c r="E98" i="3"/>
  <c r="F98" i="3"/>
  <c r="D7" i="3"/>
  <c r="D8" i="3" s="1"/>
  <c r="F50" i="3"/>
  <c r="F116" i="3"/>
  <c r="E11" i="4" s="1"/>
  <c r="D25" i="3"/>
  <c r="D107" i="3"/>
  <c r="D10" i="4" l="1"/>
  <c r="E10" i="4"/>
  <c r="D27" i="3"/>
  <c r="D141" i="3" s="1"/>
  <c r="D9" i="3"/>
  <c r="C27" i="12" s="1"/>
  <c r="D119" i="3"/>
  <c r="F51" i="3"/>
  <c r="F52" i="3" s="1"/>
  <c r="F23" i="12"/>
  <c r="F26" i="12" s="1"/>
  <c r="D12" i="4" l="1"/>
  <c r="E12" i="4"/>
  <c r="F30" i="12"/>
  <c r="F36" i="12" s="1"/>
  <c r="F31" i="12"/>
  <c r="F33" i="12" s="1"/>
  <c r="D68" i="3"/>
  <c r="D70" i="3" s="1"/>
  <c r="C29" i="12"/>
  <c r="G128" i="3"/>
  <c r="F11" i="12" s="1"/>
  <c r="F12" i="12" s="1"/>
  <c r="D10" i="3"/>
  <c r="D65" i="3" l="1"/>
  <c r="D66" i="3" s="1"/>
  <c r="D71" i="3" s="1"/>
  <c r="F34" i="12"/>
  <c r="G131" i="3"/>
  <c r="G132" i="3"/>
  <c r="G135" i="3"/>
  <c r="F3" i="4"/>
  <c r="F18" i="3"/>
  <c r="E16" i="23" l="1"/>
  <c r="E23" i="12"/>
  <c r="E26" i="12" s="1"/>
  <c r="E31" i="12" s="1"/>
  <c r="E33" i="12" s="1"/>
  <c r="E3" i="12"/>
  <c r="E5" i="12" s="1"/>
  <c r="E13" i="23"/>
  <c r="G133" i="3"/>
  <c r="G134" i="3" s="1"/>
  <c r="F128" i="3"/>
  <c r="E11" i="12" s="1"/>
  <c r="E12" i="12" s="1"/>
  <c r="E14" i="23"/>
  <c r="E15" i="23"/>
  <c r="F41" i="4"/>
  <c r="F32" i="4"/>
  <c r="F40" i="4"/>
  <c r="F34" i="4"/>
  <c r="F35" i="4"/>
  <c r="F2" i="4"/>
  <c r="F42" i="4" l="1"/>
  <c r="E30" i="12"/>
  <c r="E36" i="12" s="1"/>
  <c r="E19" i="12"/>
  <c r="E6" i="12"/>
  <c r="E20" i="12" s="1"/>
  <c r="G136" i="3"/>
  <c r="F13" i="4" s="1"/>
  <c r="F26" i="4" s="1"/>
  <c r="F131" i="3"/>
  <c r="F132" i="3"/>
  <c r="F135" i="3"/>
  <c r="E17" i="23"/>
  <c r="E21" i="23" s="1"/>
  <c r="F27" i="4"/>
  <c r="F28" i="4"/>
  <c r="F22" i="4"/>
  <c r="F19" i="4"/>
  <c r="F20" i="4"/>
  <c r="E34" i="12" l="1"/>
  <c r="F133" i="3"/>
  <c r="F134" i="3" s="1"/>
  <c r="F136" i="3" s="1"/>
  <c r="E13" i="4" s="1"/>
  <c r="E19" i="23"/>
  <c r="E22" i="23"/>
  <c r="E20" i="23"/>
  <c r="F21" i="4"/>
  <c r="E24" i="23" l="1"/>
  <c r="F36" i="4"/>
  <c r="E18" i="23" s="1"/>
  <c r="E3" i="4"/>
  <c r="E2" i="4"/>
  <c r="F23" i="4"/>
  <c r="D13" i="23" l="1"/>
  <c r="D16" i="23"/>
  <c r="D14" i="23"/>
  <c r="D15" i="23"/>
  <c r="E41" i="4"/>
  <c r="E20" i="4"/>
  <c r="E28" i="4"/>
  <c r="F16" i="4"/>
  <c r="F39" i="4"/>
  <c r="E32" i="4"/>
  <c r="E40" i="4"/>
  <c r="F37" i="4"/>
  <c r="F38" i="4" s="1"/>
  <c r="E33" i="4"/>
  <c r="E34" i="4"/>
  <c r="E35" i="4"/>
  <c r="E19" i="4"/>
  <c r="E22" i="4"/>
  <c r="E27" i="4"/>
  <c r="F24" i="4"/>
  <c r="F25" i="4" s="1"/>
  <c r="F43" i="4" l="1"/>
  <c r="E42" i="4"/>
  <c r="D17" i="23"/>
  <c r="D21" i="23" s="1"/>
  <c r="F29" i="4"/>
  <c r="E39" i="4"/>
  <c r="E26" i="4"/>
  <c r="E21" i="4"/>
  <c r="C3" i="26" l="1"/>
  <c r="B2" i="30"/>
  <c r="G5" i="30" s="1"/>
  <c r="B2" i="29"/>
  <c r="G5" i="29" s="1"/>
  <c r="B2" i="28"/>
  <c r="G5" i="28" s="1"/>
  <c r="D19" i="23"/>
  <c r="D20" i="23"/>
  <c r="D22" i="23"/>
  <c r="F46" i="4"/>
  <c r="E36" i="4"/>
  <c r="E23" i="4"/>
  <c r="E16" i="4"/>
  <c r="D13" i="3"/>
  <c r="D14" i="3" s="1"/>
  <c r="C9" i="4"/>
  <c r="B6" i="26" l="1"/>
  <c r="C53" i="26"/>
  <c r="D18" i="23"/>
  <c r="D24" i="23"/>
  <c r="E37" i="4"/>
  <c r="E43" i="4" s="1"/>
  <c r="D148" i="3"/>
  <c r="E24" i="4"/>
  <c r="E29" i="4" s="1"/>
  <c r="E18" i="3"/>
  <c r="D3" i="12" s="1"/>
  <c r="D5" i="12" s="1"/>
  <c r="D12" i="3"/>
  <c r="B3" i="23" s="1"/>
  <c r="D11" i="3"/>
  <c r="M13" i="23" s="1"/>
  <c r="D6" i="12" l="1"/>
  <c r="D20" i="12" s="1"/>
  <c r="D19" i="12"/>
  <c r="K4" i="26"/>
  <c r="J6" i="26" s="1"/>
  <c r="O4" i="26"/>
  <c r="N6" i="26" s="1"/>
  <c r="G4" i="26"/>
  <c r="F6" i="26" s="1"/>
  <c r="E128" i="3"/>
  <c r="D11" i="12" s="1"/>
  <c r="D12" i="12" s="1"/>
  <c r="D23" i="12"/>
  <c r="D26" i="12" s="1"/>
  <c r="D31" i="12" s="1"/>
  <c r="D33" i="12" s="1"/>
  <c r="E38" i="4"/>
  <c r="E46" i="4"/>
  <c r="E25" i="4"/>
  <c r="E135" i="3" l="1"/>
  <c r="E132" i="3"/>
  <c r="E131" i="3"/>
  <c r="D30" i="12"/>
  <c r="D36" i="12" s="1"/>
  <c r="D15" i="3"/>
  <c r="E133" i="3" l="1"/>
  <c r="E134" i="3" s="1"/>
  <c r="E136" i="3" s="1"/>
  <c r="D13" i="4" s="1"/>
  <c r="D34" i="12"/>
  <c r="D16" i="3"/>
  <c r="D3" i="4"/>
  <c r="D19" i="3" l="1"/>
  <c r="D23" i="3" s="1"/>
  <c r="M14" i="23"/>
  <c r="C13" i="23"/>
  <c r="C16" i="23"/>
  <c r="B4" i="23"/>
  <c r="B5" i="23" s="1"/>
  <c r="C14" i="23"/>
  <c r="C15" i="23"/>
  <c r="D41" i="4"/>
  <c r="D17" i="3"/>
  <c r="D21" i="3" s="1"/>
  <c r="D56" i="3" s="1"/>
  <c r="D61" i="3" s="1"/>
  <c r="D26" i="3"/>
  <c r="D31" i="3" s="1"/>
  <c r="D114" i="3" s="1"/>
  <c r="D29" i="3"/>
  <c r="D41" i="3"/>
  <c r="C7" i="4"/>
  <c r="C8" i="4" s="1"/>
  <c r="D18" i="3"/>
  <c r="D35" i="4"/>
  <c r="D40" i="4"/>
  <c r="D42" i="4" s="1"/>
  <c r="D32" i="4"/>
  <c r="D34" i="4"/>
  <c r="D33" i="4"/>
  <c r="D2" i="4"/>
  <c r="D28" i="4" s="1"/>
  <c r="C23" i="12" l="1"/>
  <c r="C26" i="12" s="1"/>
  <c r="C31" i="12" s="1"/>
  <c r="C33" i="12" s="1"/>
  <c r="C3" i="12"/>
  <c r="C5" i="12" s="1"/>
  <c r="M15" i="23"/>
  <c r="M17" i="23" s="1"/>
  <c r="D128" i="3"/>
  <c r="C11" i="12" s="1"/>
  <c r="C12" i="12" s="1"/>
  <c r="C13" i="12" s="1"/>
  <c r="C17" i="12" s="1"/>
  <c r="D95" i="3"/>
  <c r="C17" i="23"/>
  <c r="C22" i="23" s="1"/>
  <c r="B7" i="23"/>
  <c r="B8" i="23" s="1"/>
  <c r="B9" i="23" s="1"/>
  <c r="D28" i="3"/>
  <c r="D142" i="3" s="1"/>
  <c r="D22" i="3"/>
  <c r="D20" i="3"/>
  <c r="D24" i="3"/>
  <c r="D22" i="4"/>
  <c r="D19" i="4"/>
  <c r="D20" i="4"/>
  <c r="D27" i="4"/>
  <c r="C30" i="12" l="1"/>
  <c r="C34" i="12" s="1"/>
  <c r="C19" i="12"/>
  <c r="C6" i="12"/>
  <c r="C20" i="12" s="1"/>
  <c r="M16" i="23"/>
  <c r="M18" i="23" s="1"/>
  <c r="D131" i="3"/>
  <c r="D132" i="3"/>
  <c r="D135" i="3"/>
  <c r="C20" i="23"/>
  <c r="C21" i="23"/>
  <c r="C19" i="23"/>
  <c r="D143" i="3"/>
  <c r="D144" i="3" s="1"/>
  <c r="C15" i="4" s="1"/>
  <c r="D32" i="3"/>
  <c r="D33" i="3" s="1"/>
  <c r="D37" i="3" s="1"/>
  <c r="D34" i="3"/>
  <c r="B6" i="23" s="1"/>
  <c r="D21" i="4"/>
  <c r="C36" i="12" l="1"/>
  <c r="D38" i="3"/>
  <c r="D138" i="3" s="1"/>
  <c r="D139" i="3" s="1"/>
  <c r="C14" i="4" s="1"/>
  <c r="C31" i="18"/>
  <c r="C32" i="18" s="1"/>
  <c r="C33" i="18" s="1"/>
  <c r="D94" i="3" s="1"/>
  <c r="D133" i="3"/>
  <c r="D134" i="3" s="1"/>
  <c r="D136" i="3" s="1"/>
  <c r="C13" i="4" s="1"/>
  <c r="C24" i="23"/>
  <c r="C3" i="4"/>
  <c r="D35" i="3"/>
  <c r="D46" i="3"/>
  <c r="D48" i="3" s="1"/>
  <c r="D36" i="3"/>
  <c r="D16" i="4"/>
  <c r="D26" i="4"/>
  <c r="D39" i="4"/>
  <c r="D115" i="3" l="1"/>
  <c r="B13" i="23"/>
  <c r="B16" i="23"/>
  <c r="B14" i="23"/>
  <c r="B15" i="23"/>
  <c r="D96" i="3"/>
  <c r="D97" i="3" s="1"/>
  <c r="D112" i="3" s="1"/>
  <c r="C35" i="4"/>
  <c r="C34" i="4"/>
  <c r="C40" i="4"/>
  <c r="C32" i="4"/>
  <c r="C41" i="4"/>
  <c r="C33" i="4"/>
  <c r="D47" i="3"/>
  <c r="D49" i="3" s="1"/>
  <c r="D110" i="3"/>
  <c r="D39" i="3"/>
  <c r="C2" i="4"/>
  <c r="D117" i="3"/>
  <c r="D120" i="3" s="1"/>
  <c r="D24" i="4"/>
  <c r="D37" i="4"/>
  <c r="D36" i="4"/>
  <c r="C18" i="23" s="1"/>
  <c r="D23" i="4"/>
  <c r="D98" i="3" l="1"/>
  <c r="C42" i="4"/>
  <c r="D43" i="4"/>
  <c r="B2" i="31" s="1"/>
  <c r="G5" i="31" s="1"/>
  <c r="C39" i="4"/>
  <c r="D116" i="3"/>
  <c r="C28" i="4"/>
  <c r="C19" i="4"/>
  <c r="B17" i="23"/>
  <c r="B19" i="23" s="1"/>
  <c r="D29" i="4"/>
  <c r="C20" i="4"/>
  <c r="C22" i="4"/>
  <c r="C27" i="4"/>
  <c r="D38" i="4"/>
  <c r="D25" i="4"/>
  <c r="C11" i="4" l="1"/>
  <c r="C10" i="4"/>
  <c r="C36" i="4" s="1"/>
  <c r="B18" i="23" s="1"/>
  <c r="D50" i="3"/>
  <c r="D51" i="3" s="1"/>
  <c r="D52" i="3" s="1"/>
  <c r="D46" i="4"/>
  <c r="B21" i="23"/>
  <c r="B22" i="23"/>
  <c r="B20" i="23"/>
  <c r="C21" i="4"/>
  <c r="C23" i="4" l="1"/>
  <c r="C16" i="4"/>
  <c r="B24" i="23"/>
  <c r="C26" i="4"/>
  <c r="C37" i="4"/>
  <c r="C43" i="4" s="1"/>
  <c r="C24" i="4"/>
  <c r="C12" i="4" l="1"/>
  <c r="C29" i="4"/>
  <c r="C38" i="4"/>
  <c r="C25" i="4"/>
  <c r="C46" i="4" l="1"/>
  <c r="F6" i="30" l="1"/>
</calcChain>
</file>

<file path=xl/comments1.xml><?xml version="1.0" encoding="utf-8"?>
<comments xmlns="http://schemas.openxmlformats.org/spreadsheetml/2006/main">
  <authors>
    <author>Myers, Gabrielle M</author>
    <author>Gabrielle Myers</author>
    <author>Administrator</author>
  </authors>
  <commentList>
    <comment ref="A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Actual methane production compared to predicted methane BMP.. An MCF assumption for all inputs. </t>
        </r>
      </text>
    </comment>
    <comment ref="C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</t>
        </r>
      </text>
    </comment>
    <comment ref="C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https://www.biogas-renewable-energy.info/biogas_composition.html</t>
        </r>
      </text>
    </comment>
    <comment ref="C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Bekkering, 2010</t>
        </r>
      </text>
    </comment>
    <comment ref="C1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http://psjd.icm.edu.pl/psjd/element/bwmeta1.element.ojs-nameId-6e3e8ea9-5a94-37a7-828b-e6cd5da23db6-year-2015-article-1652/c/1652-1661.pdf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Smith et al., 2017
</t>
        </r>
        <r>
          <rPr>
            <sz val="10"/>
            <color rgb="FF000000"/>
            <rFont val="Tahoma"/>
            <family val="2"/>
          </rPr>
          <t>Case study of swine finishing manure nutrient characteristics for land applicaton</t>
        </r>
      </text>
    </comment>
    <comment ref="C1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A2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all farms are equally distant from the central AD</t>
        </r>
      </text>
    </comment>
    <comment ref="A28" authorId="1" shapeId="0">
      <text>
        <r>
          <rPr>
            <b/>
            <sz val="10"/>
            <color rgb="FF000000"/>
            <rFont val="Tahoma"/>
            <family val="2"/>
          </rPr>
          <t>Gabrielle Myers: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digester to cleaning facility</t>
        </r>
      </text>
    </comment>
    <comment ref="C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D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A30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Anhydrous is 788 per ton. 82% N
https://farmdocdaily.illinois.edu/2022/09/fertilizer-prices-rates-and-costs-for-2023.html</t>
        </r>
      </text>
    </comment>
    <comment ref="A31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sz val="10"/>
            <color rgb="FF000000"/>
            <rFont val="Calibri"/>
            <family val="2"/>
          </rPr>
          <t xml:space="preserve">https://www.epa.gov/fuels-registration-reporting-and-compliance-help/rin-trades-and-price-information
</t>
        </r>
      </text>
    </comment>
    <comment ref="B3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Gallon of ethanol equivaalent (77,000 BTU)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 Calculated from spreadsheet “Weekly LCFS Credit Activity (upto 12 June, 2022)”
https://ww2.arb.ca.gov/resources/documents/weekly-lcfs-credit-transfer-activity-reports
</t>
        </r>
      </text>
    </comment>
    <comment ref="C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D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A36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https://www.eia.gov/electricity/monthly/epm_table_grapher.php?t=epmt_5_6_a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Industrial June 2020
</t>
        </r>
      </text>
    </comment>
    <comment ref="A3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https://www.eia.gov/dnav/ng/ng_pri_sum_dcu_SIA_a.htm
10 year average Iowa citygate price (2010 - 2020)
</t>
        </r>
      </text>
    </comment>
    <comment ref="A3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  <comment ref="A4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</commentList>
</comments>
</file>

<file path=xl/comments2.xml><?xml version="1.0" encoding="utf-8"?>
<comments xmlns="http://schemas.openxmlformats.org/spreadsheetml/2006/main">
  <authors>
    <author>Myers, Gabrielle M</author>
    <author>Administrator</author>
    <author>Jordan Bailey</author>
  </authors>
  <commentList>
    <comment ref="A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A2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C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D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A5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 et al
</t>
        </r>
      </text>
    </comment>
    <comment ref="A55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
</t>
        </r>
      </text>
    </comment>
    <comment ref="A57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ASABE Manure Production and Characteristics
</t>
        </r>
      </text>
    </comment>
    <comment ref="A62" authorId="1" shapeId="0">
      <text>
        <r>
          <rPr>
            <b/>
            <sz val="16"/>
            <color indexed="81"/>
            <rFont val="Tahoma"/>
            <family val="2"/>
          </rPr>
          <t>Administrator:</t>
        </r>
        <r>
          <rPr>
            <sz val="16"/>
            <color indexed="81"/>
            <rFont val="Tahoma"/>
            <family val="2"/>
          </rPr>
          <t xml:space="preserve">
EPA LFGcost-Web User's Manual version 3.5; page 30
-If over 1 mi, then $1,000,000 per mile
-If less than 1 mile then $600,000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https://www.nrcs.usda.gov/Internet/FSE_DOCUMENTS/nrcs143_012131.pdf
</t>
        </r>
      </text>
    </comment>
    <comment ref="D64" authorId="1" shapeId="0">
      <text>
        <r>
          <rPr>
            <b/>
            <sz val="14"/>
            <color indexed="81"/>
            <rFont val="Tahoma"/>
            <family val="2"/>
          </rPr>
          <t>Administrator:</t>
        </r>
        <r>
          <rPr>
            <sz val="14"/>
            <color indexed="81"/>
            <rFont val="Tahoma"/>
            <family val="2"/>
          </rPr>
          <t xml:space="preserve">
https://www.nrcs.usda.gov/Internet/FSE_DOCUMENTS/nrcs143_012131.pdf
"Installation costs per gallon were: 2.2 cents per gallon for pond/lagoons with a capacity of less than 1 million gallons, 1.8 cents per gallon for capacities from 1 million to 3 million gallons, and 1.5 cents per gallon for greater than 3 million gallons"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Biogas compressor + pipeline costs + H2S removal: Hengeveld et al., 2014 
</t>
        </r>
        <r>
          <rPr>
            <sz val="10"/>
            <color rgb="FF000000"/>
            <rFont val="Calibri"/>
            <family val="2"/>
          </rPr>
          <t xml:space="preserve">http://dx.doi.org/10.1016/j.biombioe.2014.05.017 
</t>
        </r>
      </text>
    </comment>
    <comment ref="A81" authorId="2" shapeId="0">
      <text>
        <r>
          <rPr>
            <sz val="14"/>
            <color indexed="81"/>
            <rFont val="Tahoma"/>
            <family val="2"/>
          </rPr>
          <t xml:space="preserve">EPA LFGcost-Web User's Manual version 3.5; page 30
-If over 1 mi, then $1,000,000 per mile
-If less than 1 mile then $600,000
</t>
        </r>
      </text>
    </comment>
    <comment ref="C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D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C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D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B113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https://www.epa.gov/system/files/documents/2021-07/pdh_chapter4.pdf</t>
        </r>
      </text>
    </comment>
    <comment ref="C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D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A129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Dairy manure
using manure nutrients for  crop production
</t>
        </r>
      </text>
    </comment>
    <comment ref="A140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Year 2030
Diesel Compliance Standard
CARB Credit Value Calculator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This flow is the same as S4 because there is biogas from 5 farms flowing to the upgrading equipment. 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In this scenario (S3), the size of the upgrading and injection equipment would be the same as in S4. However, that cost is shared by 5 anaerobic digesters. This number is the share of the cost held by a single digester. </t>
        </r>
      </text>
    </comment>
  </commentList>
</comments>
</file>

<file path=xl/comments4.xml><?xml version="1.0" encoding="utf-8"?>
<comments xmlns="http://schemas.openxmlformats.org/spreadsheetml/2006/main">
  <authors>
    <author>Myers, Gabrielle M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Price without RIN considered. 
</t>
        </r>
      </text>
    </comment>
  </commentList>
</comments>
</file>

<file path=xl/comments5.xml><?xml version="1.0" encoding="utf-8"?>
<comments xmlns="http://schemas.openxmlformats.org/spreadsheetml/2006/main">
  <authors>
    <author>Myers, Gabrielle M</author>
  </authors>
  <commentList>
    <comment ref="B2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https://www.eia.gov/todayinenergy/detail.php?id=40833</t>
        </r>
      </text>
    </comment>
    <comment ref="B2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</t>
        </r>
      </text>
    </comment>
    <comment ref="B2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avg.</t>
        </r>
      </text>
    </comment>
    <comment ref="B24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https://www.eia.gov/dnav/ng/ng_cons_heat_a_EPG0_VGTH_btucf_a.htm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2019 Average Iowa </t>
        </r>
      </text>
    </comment>
    <comment ref="B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https://www.engineeringtoolbox.com/densities-specific-volumes-dry-air-water-vapor-d_1575.html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Figure out what temp to use</t>
        </r>
      </text>
    </comment>
  </commentList>
</comments>
</file>

<file path=xl/comments6.xml><?xml version="1.0" encoding="utf-8"?>
<comments xmlns="http://schemas.openxmlformats.org/spreadsheetml/2006/main">
  <authors>
    <author>Administrator</author>
  </authors>
  <commentList>
    <comment ref="A3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</commentList>
</comments>
</file>

<file path=xl/sharedStrings.xml><?xml version="1.0" encoding="utf-8"?>
<sst xmlns="http://schemas.openxmlformats.org/spreadsheetml/2006/main" count="1037" uniqueCount="556">
  <si>
    <t>kg VS/kg wet biomass</t>
  </si>
  <si>
    <t>kg VS/kg wet manure</t>
  </si>
  <si>
    <t>days/yr</t>
  </si>
  <si>
    <t>Unit</t>
  </si>
  <si>
    <t>Capital</t>
  </si>
  <si>
    <t>Manure</t>
  </si>
  <si>
    <t>Operating costs</t>
  </si>
  <si>
    <t>Biogas Density</t>
  </si>
  <si>
    <t>Products calculations</t>
  </si>
  <si>
    <t>L/m3</t>
  </si>
  <si>
    <t>Maximum Solids input</t>
  </si>
  <si>
    <t>kg TS/kg wet manure</t>
  </si>
  <si>
    <t>kg TS/kg wet biomass</t>
  </si>
  <si>
    <t>Farm size</t>
  </si>
  <si>
    <t>Anaerobic Digester Efficiency</t>
  </si>
  <si>
    <t>Volatile solids from manure</t>
  </si>
  <si>
    <t>Water input</t>
  </si>
  <si>
    <t>L/day/head</t>
  </si>
  <si>
    <t>Maximum input solids</t>
  </si>
  <si>
    <t>kg biomass/day</t>
  </si>
  <si>
    <t>Mixture solids input</t>
  </si>
  <si>
    <t>Operating Days</t>
  </si>
  <si>
    <t>Manure % of input</t>
  </si>
  <si>
    <t>Daily methane production</t>
  </si>
  <si>
    <t>Daily biogas production</t>
  </si>
  <si>
    <t>Annual biogas production</t>
  </si>
  <si>
    <t>Solids from manure</t>
  </si>
  <si>
    <t>Maximum biomass input</t>
  </si>
  <si>
    <t xml:space="preserve">Biomass % of input </t>
  </si>
  <si>
    <t>Annual methane production</t>
  </si>
  <si>
    <t>Methane energy content</t>
  </si>
  <si>
    <t>Total digester input</t>
  </si>
  <si>
    <t>Hours per day</t>
  </si>
  <si>
    <t>hr/day</t>
  </si>
  <si>
    <t>Energy production</t>
  </si>
  <si>
    <t>GJ/yr</t>
  </si>
  <si>
    <t>BTU/GJ</t>
  </si>
  <si>
    <t>Liquid digestate production</t>
  </si>
  <si>
    <t>Solid digestate production</t>
  </si>
  <si>
    <t>Digestate Calculations</t>
  </si>
  <si>
    <t>Methane density</t>
  </si>
  <si>
    <t>kg solids/day</t>
  </si>
  <si>
    <t>kg/day</t>
  </si>
  <si>
    <t>Input</t>
  </si>
  <si>
    <t>Scenario 1</t>
  </si>
  <si>
    <t>Scenario 2</t>
  </si>
  <si>
    <t>unit</t>
  </si>
  <si>
    <t>Digester Input Calculations</t>
  </si>
  <si>
    <t>Water Addition</t>
  </si>
  <si>
    <t>Water Input</t>
  </si>
  <si>
    <t>Manure Density</t>
  </si>
  <si>
    <t>% of manure volume</t>
  </si>
  <si>
    <t>Daily manure production</t>
  </si>
  <si>
    <t>kg wet manure/day</t>
  </si>
  <si>
    <t>Water density</t>
  </si>
  <si>
    <t>Cosubstrate/biomass</t>
  </si>
  <si>
    <t>volume</t>
  </si>
  <si>
    <t>Density of biogas</t>
  </si>
  <si>
    <t>Solids --&gt; Biogas</t>
  </si>
  <si>
    <t>Water % of input</t>
  </si>
  <si>
    <t>Biomass Density</t>
  </si>
  <si>
    <t>Hourly biogas production</t>
  </si>
  <si>
    <t>m</t>
  </si>
  <si>
    <t>Digester scaling exponent</t>
  </si>
  <si>
    <t>2010 Euro</t>
  </si>
  <si>
    <t>Distance from natural gas grid</t>
  </si>
  <si>
    <t>2010 Euro--&gt; 2010 USD</t>
  </si>
  <si>
    <t>CPI 2010</t>
  </si>
  <si>
    <t>CPI 2011</t>
  </si>
  <si>
    <t>CPI 2019</t>
  </si>
  <si>
    <t>Interest Rate</t>
  </si>
  <si>
    <t>Plant Life</t>
  </si>
  <si>
    <t>yr</t>
  </si>
  <si>
    <t>/yr</t>
  </si>
  <si>
    <t>2019 USD</t>
  </si>
  <si>
    <t>Operating Costs</t>
  </si>
  <si>
    <t>Total</t>
  </si>
  <si>
    <t>Annual methane production (cleaning efficiency)</t>
  </si>
  <si>
    <t>Scenario 3</t>
  </si>
  <si>
    <t>Number of farms</t>
  </si>
  <si>
    <t>head/farm</t>
  </si>
  <si>
    <t>mass</t>
  </si>
  <si>
    <t>Manure transportation cost to central AD</t>
  </si>
  <si>
    <t>IEDA AD Spreadsheet Labor</t>
  </si>
  <si>
    <t>Labor Requirement</t>
  </si>
  <si>
    <t>$/yr</t>
  </si>
  <si>
    <t>2011 USD/yr</t>
  </si>
  <si>
    <t>2019 USD/yr</t>
  </si>
  <si>
    <t>of capital</t>
  </si>
  <si>
    <t>Solids Handling Cost</t>
  </si>
  <si>
    <t>Solids handling</t>
  </si>
  <si>
    <t>Manure methane production</t>
  </si>
  <si>
    <t>Biomass methane production</t>
  </si>
  <si>
    <t>Scenario 4</t>
  </si>
  <si>
    <t>kg TS/day</t>
  </si>
  <si>
    <t>kg VS/day</t>
  </si>
  <si>
    <t>Total input solids</t>
  </si>
  <si>
    <t>/kwh</t>
  </si>
  <si>
    <t>Credits</t>
  </si>
  <si>
    <t>Digestate Credits</t>
  </si>
  <si>
    <t>kwh/GJ</t>
  </si>
  <si>
    <t>Biogas Transportation Length</t>
  </si>
  <si>
    <t>mi/digester</t>
  </si>
  <si>
    <t>Biogas compressor investment cost multiple</t>
  </si>
  <si>
    <t>Biogas compressor investment cost addition</t>
  </si>
  <si>
    <t>Biogas grid pipeline cost</t>
  </si>
  <si>
    <t>m/mile</t>
  </si>
  <si>
    <t xml:space="preserve">Biogas grid compressor cost </t>
  </si>
  <si>
    <t>Natural Gas Comparison</t>
  </si>
  <si>
    <t>Natural Gas Cost</t>
  </si>
  <si>
    <t>/GJ</t>
  </si>
  <si>
    <t>Natural gas energy content</t>
  </si>
  <si>
    <t>m3/ft3</t>
  </si>
  <si>
    <t xml:space="preserve">Natural Gas Cost </t>
  </si>
  <si>
    <t>Comparison</t>
  </si>
  <si>
    <t>Biogas H2S removal and dewatering</t>
  </si>
  <si>
    <t>Scenarios</t>
  </si>
  <si>
    <t>Decentralized</t>
  </si>
  <si>
    <t xml:space="preserve">Centralized </t>
  </si>
  <si>
    <t>AD Configuration</t>
  </si>
  <si>
    <t>Central Cleaning</t>
  </si>
  <si>
    <t>Each AD</t>
  </si>
  <si>
    <t>Manure Transport</t>
  </si>
  <si>
    <t>Biogas Transport</t>
  </si>
  <si>
    <t>Location of gas cleaning</t>
  </si>
  <si>
    <t>no</t>
  </si>
  <si>
    <t>yes</t>
  </si>
  <si>
    <t>Cost Calculation</t>
  </si>
  <si>
    <t>AD owner</t>
  </si>
  <si>
    <t>Comments</t>
  </si>
  <si>
    <t xml:space="preserve">Each AD owner shares 1/5 of biogas cleaning costs and injection cost </t>
  </si>
  <si>
    <t>Water added</t>
  </si>
  <si>
    <t>Manure transported to central AD, then cleaned and injected there</t>
  </si>
  <si>
    <t>Costs for single AD with water added to allow for more biomass</t>
  </si>
  <si>
    <t>Biogas Water Vapor</t>
  </si>
  <si>
    <t>% volume</t>
  </si>
  <si>
    <t>Water vapor density</t>
  </si>
  <si>
    <t>Water--&gt;Biogas</t>
  </si>
  <si>
    <t>Biogas Production</t>
  </si>
  <si>
    <t>Manure Methane Potental</t>
  </si>
  <si>
    <t>Biomass Methane Potential</t>
  </si>
  <si>
    <t>IEDA AD Spreadsheet Daily Biogas Production</t>
  </si>
  <si>
    <t xml:space="preserve">Mass Balance Check </t>
  </si>
  <si>
    <t>Number of farms sharing cleaning facility</t>
  </si>
  <si>
    <t>Biogas energy content</t>
  </si>
  <si>
    <t xml:space="preserve">Total feedstock </t>
  </si>
  <si>
    <t>Manure transport</t>
  </si>
  <si>
    <t>Digestate credits</t>
  </si>
  <si>
    <t>Total Feedstock</t>
  </si>
  <si>
    <t xml:space="preserve">Annual Costs </t>
  </si>
  <si>
    <t>Costs per GJ</t>
  </si>
  <si>
    <t>Annual Energy Production (GJ)</t>
  </si>
  <si>
    <t xml:space="preserve">Digester energy use </t>
  </si>
  <si>
    <t xml:space="preserve">Electricity cost </t>
  </si>
  <si>
    <t>Annual Digester Energy Demand</t>
  </si>
  <si>
    <t>MJ/yr</t>
  </si>
  <si>
    <t>Annual Electricity Cost</t>
  </si>
  <si>
    <t>Natural Gas (GJ; Citygate)</t>
  </si>
  <si>
    <t>Total Digester</t>
  </si>
  <si>
    <t>Biogas Grid Total</t>
  </si>
  <si>
    <t>RIN Definition</t>
  </si>
  <si>
    <t>BTU/RIN</t>
  </si>
  <si>
    <t>RIN Value</t>
  </si>
  <si>
    <t>RIN Credit</t>
  </si>
  <si>
    <t>Number of farms sharing AD</t>
  </si>
  <si>
    <t>Daily Manure Production</t>
  </si>
  <si>
    <t>Natural gas cost for comparison</t>
  </si>
  <si>
    <t>farms</t>
  </si>
  <si>
    <t>Manure Total Solids</t>
  </si>
  <si>
    <t>Manure Volatile Solids</t>
  </si>
  <si>
    <t>Biomass Total Solids</t>
  </si>
  <si>
    <t>Biomass Volatile Solids</t>
  </si>
  <si>
    <t>Biomass Cost</t>
  </si>
  <si>
    <t>Original Value</t>
  </si>
  <si>
    <t>Original Result</t>
  </si>
  <si>
    <t>Changed Value</t>
  </si>
  <si>
    <t>Changed Result</t>
  </si>
  <si>
    <t>Biogas methane content</t>
  </si>
  <si>
    <t>kilo*</t>
  </si>
  <si>
    <t>GJ--&gt; BTU</t>
  </si>
  <si>
    <t>Million</t>
  </si>
  <si>
    <t>GJ--&gt;kwh</t>
  </si>
  <si>
    <t>Gal--&gt;liter</t>
  </si>
  <si>
    <t>mile--&gt;m</t>
  </si>
  <si>
    <t>cubic ft --&gt; cubic meter</t>
  </si>
  <si>
    <t>Unit Conversions</t>
  </si>
  <si>
    <t>Non-Input Assumptions</t>
  </si>
  <si>
    <t>MMBTU/yr</t>
  </si>
  <si>
    <t>Annual biomass input</t>
  </si>
  <si>
    <t>S1</t>
  </si>
  <si>
    <t>S2</t>
  </si>
  <si>
    <t>S3</t>
  </si>
  <si>
    <t>S4</t>
  </si>
  <si>
    <t>gal/yr</t>
  </si>
  <si>
    <t>lb/ac</t>
  </si>
  <si>
    <t>lb/yr</t>
  </si>
  <si>
    <t>ac/yr</t>
  </si>
  <si>
    <t>lb/gal</t>
  </si>
  <si>
    <t>RIN Price</t>
  </si>
  <si>
    <t>Gallons of Ethanol Equivalent Produced</t>
  </si>
  <si>
    <t>RIN Credits</t>
  </si>
  <si>
    <t>Biomass Harvest Rate</t>
  </si>
  <si>
    <t>Abs(Change)</t>
  </si>
  <si>
    <t>Assumption-Scenario 4 $/GJ</t>
  </si>
  <si>
    <t>ERROR STATISTICS :</t>
  </si>
  <si>
    <t>Frequency of hard-coding errors =</t>
  </si>
  <si>
    <t>Frequency of Unity errors =</t>
  </si>
  <si>
    <t>Frequency of Non-Unity Errors =</t>
  </si>
  <si>
    <t>WORKSHEET NAME</t>
  </si>
  <si>
    <t>CELL IDENTIFIER</t>
  </si>
  <si>
    <t>CELL FORMULA</t>
  </si>
  <si>
    <t>Intermediates</t>
  </si>
  <si>
    <t>C35</t>
  </si>
  <si>
    <t>=(Inputs!C5*'Unit Conversions'!$B$16)+('Unit Conversions'!$B$18*(1-Inputs!C5-Inputs!C6))+(Inputs!C6*'Unit Conversions'!$B$20)</t>
  </si>
  <si>
    <t>D35</t>
  </si>
  <si>
    <t>=(Inputs!D5*'Unit Conversions'!$B$16)+('Unit Conversions'!$B$18*(1-Inputs!D5-Inputs!D6))+(Inputs!D6*'Unit Conversions'!$B$20)</t>
  </si>
  <si>
    <t>E35</t>
  </si>
  <si>
    <t>=(Inputs!E5*'Unit Conversions'!$B$16)+('Unit Conversions'!$B$18*(1-Inputs!E5-Inputs!E6))+(Inputs!E6*'Unit Conversions'!$B$20)</t>
  </si>
  <si>
    <t>F35</t>
  </si>
  <si>
    <t>=(Inputs!F5*'Unit Conversions'!$B$16)+('Unit Conversions'!$B$18*(1-Inputs!F5-Inputs!F6))+(Inputs!F6*'Unit Conversions'!$B$20)</t>
  </si>
  <si>
    <t>G35</t>
  </si>
  <si>
    <t>=(Inputs!G5*'Unit Conversions'!$B$16)+('Unit Conversions'!$B$18*(1-Inputs!G5-Inputs!G6))+(Inputs!G6*'Unit Conversions'!$B$20)</t>
  </si>
  <si>
    <t>H35</t>
  </si>
  <si>
    <t>=(Inputs!H5*'Unit Conversions'!$B$16)+('Unit Conversions'!$B$18*(1-Inputs!H5-Inputs!H6))+(Inputs!H6*'Unit Conversions'!$B$20)</t>
  </si>
  <si>
    <t>C38</t>
  </si>
  <si>
    <t>=((1-Inputs!C5-Inputs!C6)*'Unit Conversions'!$B$18)/Intermediates!C35</t>
  </si>
  <si>
    <t>D38</t>
  </si>
  <si>
    <t>=((1-Inputs!D5-Inputs!D6)*'Unit Conversions'!$B$18)/Intermediates!D35</t>
  </si>
  <si>
    <t>E38</t>
  </si>
  <si>
    <t>=((1-Inputs!E5-Inputs!E6)*'Unit Conversions'!$B$18)/Intermediates!E35</t>
  </si>
  <si>
    <t>F38</t>
  </si>
  <si>
    <t>=((1-Inputs!F5-Inputs!F6)*'Unit Conversions'!$B$18)/Intermediates!F35</t>
  </si>
  <si>
    <t>G38</t>
  </si>
  <si>
    <t>=((1-Inputs!G5-Inputs!G6)*'Unit Conversions'!$B$18)/Intermediates!G35</t>
  </si>
  <si>
    <t>H38</t>
  </si>
  <si>
    <t>=((1-Inputs!H5-Inputs!H6)*'Unit Conversions'!$B$18)/Intermediates!H35</t>
  </si>
  <si>
    <t>C67</t>
  </si>
  <si>
    <t>=IF(C66&gt;0,C65+(C64*C28),0)</t>
  </si>
  <si>
    <t>D67</t>
  </si>
  <si>
    <t>=IF(D66&gt;0,D65+(D64*D28),0)</t>
  </si>
  <si>
    <t>E67</t>
  </si>
  <si>
    <t>=IF(E66&gt;0,E65+(E64*E28),0)</t>
  </si>
  <si>
    <t>F67</t>
  </si>
  <si>
    <t>=IF(F66&gt;0,F65+(F64*F28),0)</t>
  </si>
  <si>
    <t>G67</t>
  </si>
  <si>
    <t>=IF(G66&gt;0,G65+(G64*G28),0)</t>
  </si>
  <si>
    <t>H67</t>
  </si>
  <si>
    <t>=IF(H66&gt;0,H65+(H64*H28),0)</t>
  </si>
  <si>
    <t>C68</t>
  </si>
  <si>
    <t>=IF(C66&gt;0,5000,0)</t>
  </si>
  <si>
    <t>D68</t>
  </si>
  <si>
    <t>=IF(D66&gt;0,5000,0)</t>
  </si>
  <si>
    <t>E68</t>
  </si>
  <si>
    <t>=IF(E66&gt;0,5000,0)</t>
  </si>
  <si>
    <t>F68</t>
  </si>
  <si>
    <t>=IF(F66&gt;0,5000,0)</t>
  </si>
  <si>
    <t>G68</t>
  </si>
  <si>
    <t>=IF(G66&gt;0,5000,0)</t>
  </si>
  <si>
    <t>H68</t>
  </si>
  <si>
    <t>=IF(H66&gt;0,5000,0)</t>
  </si>
  <si>
    <t>Base Case</t>
  </si>
  <si>
    <t>mass/mass</t>
  </si>
  <si>
    <r>
      <t>Digester</t>
    </r>
    <r>
      <rPr>
        <vertAlign val="subscript"/>
        <sz val="12"/>
        <color theme="1"/>
        <rFont val="Calibri"/>
        <family val="2"/>
        <scheme val="minor"/>
      </rPr>
      <t>actual</t>
    </r>
    <r>
      <rPr>
        <sz val="12"/>
        <color theme="1"/>
        <rFont val="Calibri"/>
        <family val="2"/>
        <scheme val="minor"/>
      </rPr>
      <t xml:space="preserve"> / BMP</t>
    </r>
  </si>
  <si>
    <t>vol/vol</t>
  </si>
  <si>
    <r>
      <t>mL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/g Vs</t>
    </r>
  </si>
  <si>
    <r>
      <t>kg/m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</si>
  <si>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/1000 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</si>
  <si>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MJ/m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</t>
    </r>
  </si>
  <si>
    <t>/Mg</t>
  </si>
  <si>
    <r>
      <t>Annual Biogas Production (m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</si>
  <si>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r>
      <t>Unit Cost per 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 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</si>
  <si>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--&gt; L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</si>
  <si>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density</t>
    </r>
  </si>
  <si>
    <r>
      <t>BTU/ft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</si>
  <si>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CH4/kg VS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</si>
  <si>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</si>
  <si>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biomass/day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</si>
  <si>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</si>
  <si>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</si>
  <si>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/yr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</si>
  <si>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biogas/day</t>
    </r>
  </si>
  <si>
    <r>
      <t>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biogas/hr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</si>
  <si>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/yr</t>
    </r>
  </si>
  <si>
    <r>
      <t>GJ/m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</si>
  <si>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/m</t>
    </r>
    <r>
      <rPr>
        <vertAlign val="superscript"/>
        <sz val="12"/>
        <color theme="1"/>
        <rFont val="Calibri"/>
        <family val="2"/>
        <scheme val="minor"/>
      </rPr>
      <t>3</t>
    </r>
  </si>
  <si>
    <t>Sensitivity Coefficients</t>
  </si>
  <si>
    <t>Mg/ac</t>
  </si>
  <si>
    <t>Manure Transportation Distance to Centralized AD - USC unit</t>
  </si>
  <si>
    <t>/Mg solid digestate</t>
  </si>
  <si>
    <t>/GEE</t>
  </si>
  <si>
    <t>Nitrogen Application Rate - SI</t>
  </si>
  <si>
    <t>Nitrogen Application Rate -USC</t>
  </si>
  <si>
    <t>liter/gal</t>
  </si>
  <si>
    <t>Mg/yr</t>
  </si>
  <si>
    <t>Mg/day</t>
  </si>
  <si>
    <t>kg/kg</t>
  </si>
  <si>
    <t>kg outputs/day</t>
  </si>
  <si>
    <t>kg/day (inputs - outputs)</t>
  </si>
  <si>
    <r>
      <t>CO</t>
    </r>
    <r>
      <rPr>
        <sz val="12"/>
        <color theme="1"/>
        <rFont val="Calibri (Body)_x0000_"/>
      </rPr>
      <t>2</t>
    </r>
    <r>
      <rPr>
        <sz val="12"/>
        <color theme="1"/>
        <rFont val="Calibri"/>
        <family val="2"/>
        <scheme val="minor"/>
      </rPr>
      <t xml:space="preserve">  portion of biogas</t>
    </r>
  </si>
  <si>
    <t>Water  portion of biogas</t>
  </si>
  <si>
    <t>Methane  portion of biogas</t>
  </si>
  <si>
    <r>
      <t>kg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/kg biogas</t>
    </r>
  </si>
  <si>
    <r>
      <t>kg H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0/kg biogas</t>
    </r>
  </si>
  <si>
    <r>
      <t>kg CO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/kg biogas</t>
    </r>
  </si>
  <si>
    <r>
      <t>m</t>
    </r>
    <r>
      <rPr>
        <vertAlign val="super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/day</t>
    </r>
  </si>
  <si>
    <t>acre --&gt; hectare</t>
  </si>
  <si>
    <t>ac/ha</t>
  </si>
  <si>
    <t>Nitrogen Content of Manure - USC</t>
  </si>
  <si>
    <t>Nitrogen Production - USC</t>
  </si>
  <si>
    <t>kg/ha</t>
  </si>
  <si>
    <t>ha/yr</t>
  </si>
  <si>
    <t>Nitrogen Application Rate -SI</t>
  </si>
  <si>
    <t>Nitrogen Application Rate - USC</t>
  </si>
  <si>
    <t>m3/yr</t>
  </si>
  <si>
    <t>Mg/ha</t>
  </si>
  <si>
    <t>Nitrogen Content of Manure - SI</t>
  </si>
  <si>
    <t>Annual Manure Production - USC</t>
  </si>
  <si>
    <t>Annual Manure Production - SI</t>
  </si>
  <si>
    <t xml:space="preserve">Biomass Demand -SI </t>
  </si>
  <si>
    <t>Biomass Harvest Rate - SI</t>
  </si>
  <si>
    <t>Biomass Land Requirement - SI</t>
  </si>
  <si>
    <t>lb --&gt; kg</t>
  </si>
  <si>
    <t>lb/kg</t>
  </si>
  <si>
    <t>Land Application Requirement - USC</t>
  </si>
  <si>
    <t xml:space="preserve">Land Application Requirement  - SI </t>
  </si>
  <si>
    <t>Nitrogen Production - SI</t>
  </si>
  <si>
    <t>Biomass Land Requiremet - USC</t>
  </si>
  <si>
    <t>Land Portion Needed for Harvest</t>
  </si>
  <si>
    <t>Mg/m3</t>
  </si>
  <si>
    <r>
      <t>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 xml:space="preserve"> Cleaning Efficiency</t>
    </r>
  </si>
  <si>
    <t>Water Use</t>
  </si>
  <si>
    <t>Piping cost ( to injection point)</t>
  </si>
  <si>
    <t>m3/day</t>
  </si>
  <si>
    <t xml:space="preserve">Assumption </t>
  </si>
  <si>
    <t>Orignial Result</t>
  </si>
  <si>
    <t>Abs(change)</t>
  </si>
  <si>
    <t>Input Flow (SCFM, 60% CH4)</t>
  </si>
  <si>
    <t>Product Methane (SCFM)</t>
  </si>
  <si>
    <t>Product Methane (MMBTU/hr)</t>
  </si>
  <si>
    <t>Location 1</t>
  </si>
  <si>
    <t>Location 2</t>
  </si>
  <si>
    <t>Location 3</t>
  </si>
  <si>
    <t>Location 4</t>
  </si>
  <si>
    <t>Modeling Data (Given in Table 29 of EPA/600/R-16/099 September 2016)</t>
  </si>
  <si>
    <t>Assumption</t>
  </si>
  <si>
    <t>Operating Hours (h/day)</t>
  </si>
  <si>
    <t>Operating Days (day/yr)</t>
  </si>
  <si>
    <t>Calculations</t>
  </si>
  <si>
    <t>Methane Flow (MMBTU/yr)</t>
  </si>
  <si>
    <t>Injection, piping, compression capital (Exclude CA Multiplier)</t>
  </si>
  <si>
    <t>California Multiplier</t>
  </si>
  <si>
    <t>Upgrading Installed Capital (2015 USD)</t>
  </si>
  <si>
    <t>Injection, piping, compression Installed Capital (Inluding 1.7x California Multiplier), (2015 USD)</t>
  </si>
  <si>
    <t>Total Upgrading and Injection Capital (2015 USD)</t>
  </si>
  <si>
    <t>Total Upgrading and Injection Capital (2019 USD)</t>
  </si>
  <si>
    <t>2019 CPI</t>
  </si>
  <si>
    <t>2015 CPI</t>
  </si>
  <si>
    <t>Annual Capital (2019 USD)</t>
  </si>
  <si>
    <t>Unit Capital Cost (2019 USD/MMBTU)</t>
  </si>
  <si>
    <t>Multiplier</t>
  </si>
  <si>
    <t>Exponent</t>
  </si>
  <si>
    <t>Upgrading and Injection Capital Cost ($/GJ)</t>
  </si>
  <si>
    <t>Total Capital (Excluding Updrading and Injection)</t>
  </si>
  <si>
    <t>Annual captial cost (Excluding Upgrading and Injection)</t>
  </si>
  <si>
    <t>Unit captial cost (Excluding Upgrading and Injection)</t>
  </si>
  <si>
    <t>2019 USD/GJ</t>
  </si>
  <si>
    <t xml:space="preserve">Upgrading and Injection Capital </t>
  </si>
  <si>
    <t>$/GJ</t>
  </si>
  <si>
    <t xml:space="preserve">Total Unit Capital Cost </t>
  </si>
  <si>
    <t xml:space="preserve">Before Credit Cost </t>
  </si>
  <si>
    <t xml:space="preserve">Power Line Fit </t>
  </si>
  <si>
    <t>Sensitivity Coefficient</t>
  </si>
  <si>
    <t xml:space="preserve">Piping cost to injection point </t>
  </si>
  <si>
    <t xml:space="preserve">Biogas grid pipeline cost </t>
  </si>
  <si>
    <t>2019 USD (see note)</t>
  </si>
  <si>
    <t>Biogas grid compressor + H2S removal and Dewatering</t>
  </si>
  <si>
    <t>At Central AD</t>
  </si>
  <si>
    <t>Percent Change</t>
  </si>
  <si>
    <t>VS from manure</t>
  </si>
  <si>
    <t>Biogas production (m3/kg VS)</t>
  </si>
  <si>
    <t>VS from corn stover</t>
  </si>
  <si>
    <t>CH4 Production (m3/day)</t>
  </si>
  <si>
    <t>m3 CH4/kg VS</t>
  </si>
  <si>
    <t>Total VS (kg)</t>
  </si>
  <si>
    <t xml:space="preserve">These are in line or below what Gonzalez paper has in section 2.2 </t>
  </si>
  <si>
    <t>Digester Cost Multiplier</t>
  </si>
  <si>
    <t>2012 USD</t>
  </si>
  <si>
    <t>Hydraulic Retention Time</t>
  </si>
  <si>
    <t>days</t>
  </si>
  <si>
    <t>CPI 2012</t>
  </si>
  <si>
    <t>Digester Volume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</si>
  <si>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</si>
  <si>
    <t>Dairy cow manure production</t>
  </si>
  <si>
    <t>m3/head</t>
  </si>
  <si>
    <t>New Digester Cost Multiplier</t>
  </si>
  <si>
    <t>Faulhaber HRT</t>
  </si>
  <si>
    <t>LCFS Value</t>
  </si>
  <si>
    <t>Swine Manure CI Score</t>
  </si>
  <si>
    <t>Corn Stover CI Score</t>
  </si>
  <si>
    <t>$/MT CO2</t>
  </si>
  <si>
    <t>g CO2e/MJ</t>
  </si>
  <si>
    <t>Manure Energy Production</t>
  </si>
  <si>
    <t>GJ/Day</t>
  </si>
  <si>
    <t>Biomass Energy Production</t>
  </si>
  <si>
    <t>CO2e Biomass</t>
  </si>
  <si>
    <t>kg CO2/day</t>
  </si>
  <si>
    <t>CO2e Combined</t>
  </si>
  <si>
    <t>MT CO2/yr</t>
  </si>
  <si>
    <t>CO2 saved Manure</t>
  </si>
  <si>
    <t>g CO2/mJ</t>
  </si>
  <si>
    <t>LCFS Credit</t>
  </si>
  <si>
    <t>LCFS Credits</t>
  </si>
  <si>
    <t>ton wet manure/day</t>
  </si>
  <si>
    <t>CPI 2005</t>
  </si>
  <si>
    <t>Manure transport cost - variable (2005)</t>
  </si>
  <si>
    <t>Manure transport cost - variable (2019)</t>
  </si>
  <si>
    <t>Manure Transport cost - fixed (2005)</t>
  </si>
  <si>
    <t>Manure Transport cost - fixed (2019)</t>
  </si>
  <si>
    <t>/tonne</t>
  </si>
  <si>
    <t>Annual manure production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</si>
  <si>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manure/year</t>
    </r>
  </si>
  <si>
    <t>Annual Manure production</t>
  </si>
  <si>
    <t>ton wet manure/year</t>
  </si>
  <si>
    <t>/ton/km</t>
  </si>
  <si>
    <t>Manure Nitrogen  Content</t>
  </si>
  <si>
    <t>lbs/gal</t>
  </si>
  <si>
    <t>N Value</t>
  </si>
  <si>
    <t>/lb N</t>
  </si>
  <si>
    <t>Manure Production</t>
  </si>
  <si>
    <t>Annual Manure Production (storage required)</t>
  </si>
  <si>
    <t>Annual Manure production (storage required)</t>
  </si>
  <si>
    <t>Storage Cost</t>
  </si>
  <si>
    <t>2003 USD/gal storage</t>
  </si>
  <si>
    <t>2003 USD (total)</t>
  </si>
  <si>
    <t>CPI 2003</t>
  </si>
  <si>
    <t>2019 USD (total)</t>
  </si>
  <si>
    <t>Storage Cost (lagoon)</t>
  </si>
  <si>
    <t>Storage depth</t>
  </si>
  <si>
    <t>ft</t>
  </si>
  <si>
    <t>Storage surface area</t>
  </si>
  <si>
    <t>Storage cover cost</t>
  </si>
  <si>
    <t>USD/ft2</t>
  </si>
  <si>
    <t>total</t>
  </si>
  <si>
    <t>Total Storage</t>
  </si>
  <si>
    <r>
      <t>ft</t>
    </r>
    <r>
      <rPr>
        <vertAlign val="superscript"/>
        <sz val="12"/>
        <color theme="1"/>
        <rFont val="Calibri"/>
        <family val="2"/>
        <scheme val="minor"/>
      </rPr>
      <t>2</t>
    </r>
  </si>
  <si>
    <t>lagoon + cover</t>
  </si>
  <si>
    <t>£ (2000)</t>
  </si>
  <si>
    <t>Screw press cost</t>
  </si>
  <si>
    <t>Screw press needed</t>
  </si>
  <si>
    <t>Total Screw Press Cost</t>
  </si>
  <si>
    <t>2000 -- &gt; 2019</t>
  </si>
  <si>
    <t>Screw Press Cost</t>
  </si>
  <si>
    <t>£ (2019)</t>
  </si>
  <si>
    <t>2019 pound --&gt; 2019 USD</t>
  </si>
  <si>
    <t>Screw Press Energy Demand</t>
  </si>
  <si>
    <t>kwh/tonne</t>
  </si>
  <si>
    <t>Screw Press Energy Use</t>
  </si>
  <si>
    <t>kwh/yr</t>
  </si>
  <si>
    <t>Digester Capital ($/GJ)_</t>
  </si>
  <si>
    <t>Upgrading and Injection</t>
  </si>
  <si>
    <t>Storage</t>
  </si>
  <si>
    <t>2019 USD/mi</t>
  </si>
  <si>
    <t>Manure Transportation Distance</t>
  </si>
  <si>
    <t>km</t>
  </si>
  <si>
    <t>Manure Cost</t>
  </si>
  <si>
    <t>Manure Plant Available Nitrogen</t>
  </si>
  <si>
    <t>Stover N content</t>
  </si>
  <si>
    <t>lbs/ton</t>
  </si>
  <si>
    <t>US ton</t>
  </si>
  <si>
    <t>lbs per ton</t>
  </si>
  <si>
    <t>lbs --&gt; kg</t>
  </si>
  <si>
    <t>lbs/kg</t>
  </si>
  <si>
    <t>lbs N / lb stover</t>
  </si>
  <si>
    <t>kg N/tonne stover</t>
  </si>
  <si>
    <t>Stover N Input</t>
  </si>
  <si>
    <t>kg/yr</t>
  </si>
  <si>
    <t>Stover N availability</t>
  </si>
  <si>
    <t>Manure N input</t>
  </si>
  <si>
    <t>Digestate N Availability</t>
  </si>
  <si>
    <t>weighted average</t>
  </si>
  <si>
    <t>Digestate Value</t>
  </si>
  <si>
    <t>Stover N portion</t>
  </si>
  <si>
    <t>Manure N portion</t>
  </si>
  <si>
    <t>Available N digestated</t>
  </si>
  <si>
    <t>Digestate N availability</t>
  </si>
  <si>
    <t>Product Methane (GJ/hr)</t>
  </si>
  <si>
    <t>Methane Flow (GJ/yr)</t>
  </si>
  <si>
    <t>Unit Capital Cost (2019 USD/Gj)</t>
  </si>
  <si>
    <t xml:space="preserve">Upgrading and Injection Capital Cost ($/GJ) - at each digester </t>
  </si>
  <si>
    <t xml:space="preserve">Methane Flow (GJ/hr) - to upgrading equipment </t>
  </si>
  <si>
    <t>Diesel Emissions Standard LCFS</t>
  </si>
  <si>
    <t>Stover Nitrogen Input</t>
  </si>
  <si>
    <t xml:space="preserve">Corn Stover Input </t>
  </si>
  <si>
    <t>Stover N Content</t>
  </si>
  <si>
    <t>kg N/Mg</t>
  </si>
  <si>
    <t>Stover Harvest Rate</t>
  </si>
  <si>
    <t>Manure N Content</t>
  </si>
  <si>
    <t>Manure N Input</t>
  </si>
  <si>
    <t>Mg N/yr</t>
  </si>
  <si>
    <t xml:space="preserve">Stover Harvest Area </t>
  </si>
  <si>
    <t xml:space="preserve">Digestate N </t>
  </si>
  <si>
    <t>N Application Rate</t>
  </si>
  <si>
    <t>Mg N/ha</t>
  </si>
  <si>
    <t>Land Application Requirement</t>
  </si>
  <si>
    <t>ha</t>
  </si>
  <si>
    <t>Application Area Required for Harvest</t>
  </si>
  <si>
    <t>Scenario 0</t>
  </si>
  <si>
    <t>S0</t>
  </si>
  <si>
    <t>Digesteractual / BMP</t>
  </si>
  <si>
    <t>CH4 Cleaning Efficiency</t>
  </si>
  <si>
    <t>mL CH4/g Vs</t>
  </si>
  <si>
    <t>kg/m3</t>
  </si>
  <si>
    <t>MJ/m3 biogas</t>
  </si>
  <si>
    <t>/1000 ft3</t>
  </si>
  <si>
    <t>Scenario 5</t>
  </si>
  <si>
    <t>Scenario 40</t>
  </si>
  <si>
    <t>S40</t>
  </si>
  <si>
    <r>
      <t>Scenario 4</t>
    </r>
    <r>
      <rPr>
        <b/>
        <vertAlign val="subscript"/>
        <sz val="12"/>
        <color theme="1"/>
        <rFont val="Calibri"/>
        <family val="2"/>
        <scheme val="minor"/>
      </rPr>
      <t>0</t>
    </r>
  </si>
  <si>
    <r>
      <t>Scenario 1</t>
    </r>
    <r>
      <rPr>
        <b/>
        <vertAlign val="subscript"/>
        <sz val="12"/>
        <color theme="1"/>
        <rFont val="Calibri"/>
        <family val="2"/>
        <scheme val="minor"/>
      </rPr>
      <t>0</t>
    </r>
  </si>
  <si>
    <t>Manure Methane Production</t>
  </si>
  <si>
    <t>Biomass Methane Production</t>
  </si>
  <si>
    <t>Result</t>
  </si>
  <si>
    <t>Frozen Result</t>
  </si>
  <si>
    <t>Manure Hauling Distance S4</t>
  </si>
  <si>
    <t>Baseline Result</t>
  </si>
  <si>
    <t>Distance</t>
  </si>
  <si>
    <t>Baseline Distance</t>
  </si>
  <si>
    <t>Carbon Credit Sum</t>
  </si>
  <si>
    <t>month</t>
  </si>
  <si>
    <t>year</t>
  </si>
  <si>
    <t>LCFS $/GJ</t>
  </si>
  <si>
    <t>RIN $/GJ</t>
  </si>
  <si>
    <t>sum</t>
  </si>
  <si>
    <t>Credit SUM</t>
  </si>
  <si>
    <t>BASE</t>
  </si>
  <si>
    <t>Negative</t>
  </si>
  <si>
    <t>Negative SUM</t>
  </si>
  <si>
    <t>Pipeline Cost</t>
  </si>
  <si>
    <t>Data Table</t>
  </si>
  <si>
    <t>Digester Productivity Comparisons</t>
  </si>
  <si>
    <t>m3 gas/m3 digester/day</t>
  </si>
  <si>
    <t>L/L/d</t>
  </si>
  <si>
    <t>ton/ac</t>
  </si>
  <si>
    <t>Manure -- Stover Balance</t>
  </si>
  <si>
    <t>Stover--Digestate Balance</t>
  </si>
  <si>
    <t>Additonal O&amp;M Assumption</t>
  </si>
  <si>
    <t>Maintenance Cost (Excluding Upgrading)</t>
  </si>
  <si>
    <t>/scfm capacity --  annual cost</t>
  </si>
  <si>
    <t>scfm</t>
  </si>
  <si>
    <t>minute per hour</t>
  </si>
  <si>
    <t>scf --&gt; m3</t>
  </si>
  <si>
    <r>
      <t>ft</t>
    </r>
    <r>
      <rPr>
        <vertAlign val="superscript"/>
        <sz val="12"/>
        <color rgb="FF000000"/>
        <rFont val="Calibri"/>
        <family val="2"/>
        <scheme val="minor"/>
      </rPr>
      <t>3</t>
    </r>
    <r>
      <rPr>
        <sz val="12"/>
        <color rgb="FF000000"/>
        <rFont val="Calibri"/>
        <family val="2"/>
        <scheme val="minor"/>
      </rPr>
      <t>/m</t>
    </r>
    <r>
      <rPr>
        <vertAlign val="superscript"/>
        <sz val="12"/>
        <color rgb="FF000000"/>
        <rFont val="Calibri"/>
        <family val="2"/>
        <scheme val="minor"/>
      </rPr>
      <t>3</t>
    </r>
  </si>
  <si>
    <t>RNG Capacity Needed</t>
  </si>
  <si>
    <t>Upgrading and Injection O&amp;M</t>
  </si>
  <si>
    <t>Upgrading and Injection O&amp;M Assumption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</si>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</sst>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0.000"/>
    <numFmt numFmtId="167" formatCode="&quot;$&quot;#,##0.0000"/>
    <numFmt numFmtId="168" formatCode="0.0000"/>
    <numFmt numFmtId="169" formatCode="#,##0.0000_);\(#,##0.0000\)"/>
    <numFmt numFmtId="170" formatCode="&quot;$&quot;#,##0.000"/>
    <numFmt numFmtId="171" formatCode="0.0"/>
    <numFmt numFmtId="172" formatCode="0.00000"/>
    <numFmt numFmtId="173" formatCode="0.0%"/>
    <numFmt numFmtId="174" formatCode="#,##0.0_);\(#,##0.0\)"/>
    <numFmt numFmtId="175" formatCode="&quot;$&quot;#,##0.000_);[Red]\(&quot;$&quot;#,##0.000\)"/>
    <numFmt numFmtId="176" formatCode="0.00000000000000%"/>
    <numFmt numFmtId="177" formatCode="#,##0.000_);\(#,##0.000\)"/>
    <numFmt numFmtId="178" formatCode="0.000000"/>
    <numFmt numFmtId="179" formatCode="&quot;$&quot;#,##0.0000_);[Red]\(&quot;$&quot;#,##0.0000\)"/>
  </numFmts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Calibri (Body)_x0000_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 (Body)"/>
    </font>
    <font>
      <vertAlign val="superscript"/>
      <sz val="12"/>
      <color theme="1"/>
      <name val="Calibri (Body)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b/>
      <vertAlign val="subscript"/>
      <sz val="12"/>
      <color theme="1"/>
      <name val="Calibri"/>
      <family val="2"/>
      <scheme val="minor"/>
    </font>
    <font>
      <b/>
      <sz val="14"/>
      <color indexed="81"/>
      <name val="Tahoma"/>
      <family val="2"/>
    </font>
    <font>
      <vertAlign val="superscript"/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C1C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71">
    <xf numFmtId="0" fontId="0" fillId="0" borderId="0" xfId="0"/>
    <xf numFmtId="0" fontId="3" fillId="0" borderId="0" xfId="0" applyFont="1"/>
    <xf numFmtId="9" fontId="0" fillId="0" borderId="0" xfId="2" applyFont="1"/>
    <xf numFmtId="0" fontId="3" fillId="0" borderId="0" xfId="0" applyFont="1" applyAlignment="1">
      <alignment horizontal="center"/>
    </xf>
    <xf numFmtId="9" fontId="0" fillId="0" borderId="0" xfId="2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/>
    <xf numFmtId="164" fontId="0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8" fontId="3" fillId="0" borderId="0" xfId="0" applyNumberFormat="1" applyFont="1" applyAlignment="1">
      <alignment horizontal="center"/>
    </xf>
    <xf numFmtId="168" fontId="0" fillId="0" borderId="0" xfId="0" applyNumberFormat="1"/>
    <xf numFmtId="37" fontId="0" fillId="0" borderId="0" xfId="2" applyNumberFormat="1" applyFont="1" applyFill="1" applyAlignment="1">
      <alignment horizontal="center"/>
    </xf>
    <xf numFmtId="37" fontId="3" fillId="0" borderId="0" xfId="2" applyNumberFormat="1" applyFont="1" applyFill="1" applyAlignment="1">
      <alignment horizontal="center"/>
    </xf>
    <xf numFmtId="37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3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3" fillId="2" borderId="0" xfId="0" applyFont="1" applyFill="1"/>
    <xf numFmtId="0" fontId="0" fillId="2" borderId="0" xfId="0" applyFill="1"/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0" fillId="8" borderId="0" xfId="0" applyFill="1"/>
    <xf numFmtId="39" fontId="0" fillId="8" borderId="0" xfId="0" applyNumberFormat="1" applyFill="1" applyAlignment="1">
      <alignment horizontal="center"/>
    </xf>
    <xf numFmtId="0" fontId="3" fillId="8" borderId="0" xfId="0" applyFont="1" applyFill="1" applyAlignment="1">
      <alignment horizontal="left"/>
    </xf>
    <xf numFmtId="0" fontId="0" fillId="7" borderId="0" xfId="0" applyFill="1" applyAlignment="1">
      <alignment horizontal="left" indent="1"/>
    </xf>
    <xf numFmtId="165" fontId="0" fillId="7" borderId="0" xfId="1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9" borderId="0" xfId="0" applyFill="1" applyAlignment="1">
      <alignment horizontal="left" indent="1"/>
    </xf>
    <xf numFmtId="165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10" borderId="0" xfId="0" applyFill="1" applyAlignment="1">
      <alignment horizontal="left" indent="1"/>
    </xf>
    <xf numFmtId="0" fontId="3" fillId="10" borderId="0" xfId="0" applyFont="1" applyFill="1" applyAlignment="1">
      <alignment horizontal="left" indent="1"/>
    </xf>
    <xf numFmtId="165" fontId="3" fillId="10" borderId="0" xfId="0" applyNumberFormat="1" applyFont="1" applyFill="1" applyAlignment="1">
      <alignment horizontal="center"/>
    </xf>
    <xf numFmtId="164" fontId="3" fillId="10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1" applyNumberFormat="1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0" fontId="3" fillId="10" borderId="0" xfId="0" applyFont="1" applyFill="1" applyAlignment="1">
      <alignment horizontal="left"/>
    </xf>
    <xf numFmtId="37" fontId="0" fillId="10" borderId="0" xfId="0" applyNumberForma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2" applyNumberFormat="1" applyFont="1" applyFill="1" applyAlignment="1">
      <alignment horizontal="center"/>
    </xf>
    <xf numFmtId="164" fontId="0" fillId="6" borderId="0" xfId="1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2" applyNumberFormat="1" applyFont="1" applyFill="1" applyAlignment="1">
      <alignment horizontal="center"/>
    </xf>
    <xf numFmtId="164" fontId="0" fillId="3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2" applyNumberFormat="1" applyFont="1" applyFill="1" applyAlignment="1">
      <alignment horizontal="center"/>
    </xf>
    <xf numFmtId="9" fontId="0" fillId="4" borderId="0" xfId="2" applyFont="1" applyFill="1" applyAlignment="1">
      <alignment horizontal="center"/>
    </xf>
    <xf numFmtId="2" fontId="0" fillId="7" borderId="0" xfId="2" applyNumberFormat="1" applyFont="1" applyFill="1" applyAlignment="1">
      <alignment horizontal="center"/>
    </xf>
    <xf numFmtId="164" fontId="0" fillId="6" borderId="0" xfId="2" applyNumberFormat="1" applyFont="1" applyFill="1" applyAlignment="1">
      <alignment horizontal="center"/>
    </xf>
    <xf numFmtId="164" fontId="0" fillId="4" borderId="0" xfId="2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6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66" fontId="0" fillId="6" borderId="0" xfId="2" applyNumberFormat="1" applyFont="1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6" borderId="0" xfId="2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8" fillId="0" borderId="0" xfId="0" applyFont="1"/>
    <xf numFmtId="11" fontId="8" fillId="0" borderId="0" xfId="0" applyNumberFormat="1" applyFont="1"/>
    <xf numFmtId="2" fontId="8" fillId="0" borderId="0" xfId="0" applyNumberFormat="1" applyFont="1"/>
    <xf numFmtId="11" fontId="3" fillId="0" borderId="0" xfId="0" applyNumberFormat="1" applyFont="1"/>
    <xf numFmtId="9" fontId="3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0" fontId="0" fillId="12" borderId="0" xfId="0" applyFill="1"/>
    <xf numFmtId="0" fontId="3" fillId="12" borderId="0" xfId="0" applyFont="1" applyFill="1" applyAlignment="1">
      <alignment horizontal="center"/>
    </xf>
    <xf numFmtId="9" fontId="3" fillId="0" borderId="0" xfId="2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1" applyNumberFormat="1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13" borderId="0" xfId="0" applyFill="1"/>
    <xf numFmtId="0" fontId="0" fillId="13" borderId="0" xfId="0" quotePrefix="1" applyFill="1"/>
    <xf numFmtId="0" fontId="0" fillId="14" borderId="0" xfId="0" applyFill="1"/>
    <xf numFmtId="0" fontId="0" fillId="14" borderId="0" xfId="0" quotePrefix="1" applyFill="1"/>
    <xf numFmtId="10" fontId="3" fillId="0" borderId="0" xfId="0" applyNumberFormat="1" applyFont="1"/>
    <xf numFmtId="9" fontId="3" fillId="0" borderId="0" xfId="0" applyNumberFormat="1" applyFont="1"/>
    <xf numFmtId="39" fontId="3" fillId="0" borderId="0" xfId="0" applyNumberFormat="1" applyFont="1" applyAlignment="1">
      <alignment horizontal="center"/>
    </xf>
    <xf numFmtId="9" fontId="0" fillId="0" borderId="0" xfId="2" applyFont="1" applyFill="1" applyAlignment="1">
      <alignment horizontal="center"/>
    </xf>
    <xf numFmtId="0" fontId="0" fillId="5" borderId="0" xfId="0" applyFill="1"/>
    <xf numFmtId="2" fontId="0" fillId="4" borderId="0" xfId="2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2" fontId="0" fillId="5" borderId="0" xfId="2" applyNumberFormat="1" applyFont="1" applyFill="1" applyAlignment="1">
      <alignment horizontal="center"/>
    </xf>
    <xf numFmtId="9" fontId="0" fillId="0" borderId="0" xfId="0" applyNumberFormat="1"/>
    <xf numFmtId="0" fontId="0" fillId="15" borderId="0" xfId="0" applyFill="1"/>
    <xf numFmtId="37" fontId="0" fillId="15" borderId="0" xfId="0" applyNumberFormat="1" applyFill="1" applyAlignment="1">
      <alignment horizontal="center"/>
    </xf>
    <xf numFmtId="174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9" fontId="0" fillId="5" borderId="0" xfId="2" applyFont="1" applyFill="1" applyAlignment="1">
      <alignment horizontal="center"/>
    </xf>
    <xf numFmtId="174" fontId="0" fillId="7" borderId="0" xfId="0" applyNumberFormat="1" applyFill="1" applyAlignment="1">
      <alignment horizontal="center"/>
    </xf>
    <xf numFmtId="37" fontId="0" fillId="7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66" fontId="0" fillId="15" borderId="0" xfId="0" applyNumberFormat="1" applyFill="1" applyAlignment="1">
      <alignment horizontal="center"/>
    </xf>
    <xf numFmtId="9" fontId="0" fillId="0" borderId="0" xfId="2" applyFont="1" applyAlignment="1">
      <alignment horizontal="center" vertical="center"/>
    </xf>
    <xf numFmtId="8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16" borderId="0" xfId="0" applyFill="1"/>
    <xf numFmtId="37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65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39" fontId="0" fillId="16" borderId="0" xfId="0" applyNumberFormat="1" applyFill="1" applyAlignment="1">
      <alignment horizontal="center"/>
    </xf>
    <xf numFmtId="9" fontId="0" fillId="16" borderId="0" xfId="2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64" fontId="0" fillId="16" borderId="0" xfId="0" applyNumberFormat="1" applyFill="1" applyAlignment="1">
      <alignment horizontal="center"/>
    </xf>
    <xf numFmtId="0" fontId="3" fillId="17" borderId="0" xfId="0" applyFont="1" applyFill="1" applyAlignment="1">
      <alignment horizontal="left" indent="1"/>
    </xf>
    <xf numFmtId="165" fontId="3" fillId="17" borderId="0" xfId="0" applyNumberFormat="1" applyFont="1" applyFill="1" applyAlignment="1">
      <alignment horizontal="center"/>
    </xf>
    <xf numFmtId="164" fontId="3" fillId="17" borderId="0" xfId="0" applyNumberFormat="1" applyFont="1" applyFill="1" applyAlignment="1">
      <alignment horizontal="center"/>
    </xf>
    <xf numFmtId="37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9" fontId="11" fillId="0" borderId="0" xfId="2" applyFont="1" applyFill="1" applyAlignment="1">
      <alignment horizontal="center"/>
    </xf>
    <xf numFmtId="176" fontId="0" fillId="0" borderId="0" xfId="0" applyNumberFormat="1"/>
    <xf numFmtId="43" fontId="0" fillId="0" borderId="0" xfId="3" applyFont="1"/>
    <xf numFmtId="173" fontId="11" fillId="0" borderId="0" xfId="2" applyNumberFormat="1" applyFont="1" applyFill="1" applyAlignment="1">
      <alignment horizontal="center"/>
    </xf>
    <xf numFmtId="37" fontId="0" fillId="0" borderId="0" xfId="0" applyNumberFormat="1"/>
    <xf numFmtId="1" fontId="0" fillId="7" borderId="0" xfId="2" applyNumberFormat="1" applyFont="1" applyFill="1" applyAlignment="1">
      <alignment horizontal="center"/>
    </xf>
    <xf numFmtId="37" fontId="0" fillId="0" borderId="0" xfId="3" applyNumberFormat="1" applyFont="1" applyFill="1" applyAlignment="1">
      <alignment horizontal="center"/>
    </xf>
    <xf numFmtId="166" fontId="2" fillId="0" borderId="0" xfId="1" applyNumberFormat="1" applyFont="1" applyFill="1" applyAlignment="1">
      <alignment horizontal="center"/>
    </xf>
    <xf numFmtId="173" fontId="0" fillId="0" borderId="0" xfId="2" applyNumberFormat="1" applyFont="1"/>
    <xf numFmtId="10" fontId="0" fillId="0" borderId="0" xfId="0" applyNumberFormat="1"/>
    <xf numFmtId="173" fontId="0" fillId="0" borderId="0" xfId="0" applyNumberFormat="1"/>
    <xf numFmtId="177" fontId="0" fillId="0" borderId="0" xfId="0" applyNumberFormat="1" applyAlignment="1">
      <alignment horizontal="center"/>
    </xf>
    <xf numFmtId="168" fontId="11" fillId="0" borderId="0" xfId="0" applyNumberFormat="1" applyFont="1" applyAlignment="1">
      <alignment horizontal="center"/>
    </xf>
    <xf numFmtId="164" fontId="0" fillId="0" borderId="0" xfId="1" applyNumberFormat="1" applyFont="1"/>
    <xf numFmtId="167" fontId="0" fillId="16" borderId="0" xfId="1" applyNumberFormat="1" applyFont="1" applyFill="1" applyAlignment="1">
      <alignment horizontal="center"/>
    </xf>
    <xf numFmtId="0" fontId="3" fillId="16" borderId="0" xfId="0" applyFont="1" applyFill="1"/>
    <xf numFmtId="2" fontId="0" fillId="0" borderId="0" xfId="1" applyNumberFormat="1" applyFont="1" applyFill="1" applyAlignment="1">
      <alignment horizontal="center"/>
    </xf>
    <xf numFmtId="178" fontId="0" fillId="0" borderId="0" xfId="0" applyNumberFormat="1" applyAlignment="1">
      <alignment horizontal="center" vertical="center"/>
    </xf>
    <xf numFmtId="173" fontId="2" fillId="0" borderId="0" xfId="2" applyNumberFormat="1" applyFont="1" applyFill="1" applyAlignment="1">
      <alignment horizontal="center"/>
    </xf>
    <xf numFmtId="10" fontId="0" fillId="16" borderId="0" xfId="0" applyNumberFormat="1" applyFill="1" applyAlignment="1">
      <alignment horizontal="center"/>
    </xf>
    <xf numFmtId="179" fontId="0" fillId="0" borderId="0" xfId="0" applyNumberForma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0" xfId="0" applyNumberFormat="1"/>
    <xf numFmtId="170" fontId="0" fillId="0" borderId="0" xfId="1" applyNumberFormat="1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9" fontId="0" fillId="18" borderId="0" xfId="2" applyFont="1" applyFill="1" applyAlignment="1">
      <alignment horizontal="center"/>
    </xf>
    <xf numFmtId="1" fontId="0" fillId="18" borderId="0" xfId="2" applyNumberFormat="1" applyFont="1" applyFill="1" applyAlignment="1">
      <alignment horizontal="center"/>
    </xf>
    <xf numFmtId="0" fontId="0" fillId="18" borderId="0" xfId="0" applyFill="1" applyAlignment="1">
      <alignment horizontal="center"/>
    </xf>
    <xf numFmtId="2" fontId="0" fillId="18" borderId="0" xfId="0" applyNumberFormat="1" applyFill="1" applyAlignment="1">
      <alignment horizontal="center"/>
    </xf>
    <xf numFmtId="2" fontId="0" fillId="18" borderId="0" xfId="2" applyNumberFormat="1" applyFont="1" applyFill="1" applyAlignment="1">
      <alignment horizontal="center"/>
    </xf>
    <xf numFmtId="0" fontId="0" fillId="18" borderId="0" xfId="2" applyNumberFormat="1" applyFont="1" applyFill="1" applyAlignment="1">
      <alignment horizontal="center"/>
    </xf>
    <xf numFmtId="171" fontId="0" fillId="18" borderId="0" xfId="0" applyNumberFormat="1" applyFill="1" applyAlignment="1">
      <alignment horizontal="center"/>
    </xf>
    <xf numFmtId="171" fontId="0" fillId="18" borderId="0" xfId="2" applyNumberFormat="1" applyFont="1" applyFill="1" applyAlignment="1">
      <alignment horizontal="center"/>
    </xf>
    <xf numFmtId="164" fontId="0" fillId="18" borderId="0" xfId="1" applyNumberFormat="1" applyFont="1" applyFill="1" applyAlignment="1">
      <alignment horizontal="center"/>
    </xf>
    <xf numFmtId="164" fontId="0" fillId="18" borderId="0" xfId="2" applyNumberFormat="1" applyFont="1" applyFill="1" applyAlignment="1">
      <alignment horizontal="center"/>
    </xf>
    <xf numFmtId="166" fontId="0" fillId="18" borderId="0" xfId="2" applyNumberFormat="1" applyFont="1" applyFill="1" applyAlignment="1">
      <alignment horizontal="center"/>
    </xf>
    <xf numFmtId="39" fontId="0" fillId="18" borderId="0" xfId="0" applyNumberFormat="1" applyFill="1" applyAlignment="1">
      <alignment horizontal="center"/>
    </xf>
    <xf numFmtId="37" fontId="0" fillId="18" borderId="0" xfId="0" applyNumberFormat="1" applyFill="1" applyAlignment="1">
      <alignment horizontal="center"/>
    </xf>
    <xf numFmtId="37" fontId="0" fillId="18" borderId="0" xfId="2" applyNumberFormat="1" applyFont="1" applyFill="1" applyAlignment="1">
      <alignment horizontal="center"/>
    </xf>
    <xf numFmtId="37" fontId="3" fillId="18" borderId="0" xfId="2" applyNumberFormat="1" applyFont="1" applyFill="1" applyAlignment="1">
      <alignment horizontal="center"/>
    </xf>
    <xf numFmtId="169" fontId="0" fillId="18" borderId="0" xfId="0" applyNumberFormat="1" applyFill="1" applyAlignment="1">
      <alignment horizontal="center"/>
    </xf>
    <xf numFmtId="1" fontId="0" fillId="18" borderId="0" xfId="0" applyNumberFormat="1" applyFill="1" applyAlignment="1">
      <alignment horizontal="center"/>
    </xf>
    <xf numFmtId="39" fontId="3" fillId="18" borderId="0" xfId="0" applyNumberFormat="1" applyFont="1" applyFill="1" applyAlignment="1">
      <alignment horizontal="center"/>
    </xf>
    <xf numFmtId="9" fontId="3" fillId="18" borderId="0" xfId="2" applyFont="1" applyFill="1" applyAlignment="1">
      <alignment horizontal="center"/>
    </xf>
    <xf numFmtId="37" fontId="0" fillId="18" borderId="0" xfId="3" applyNumberFormat="1" applyFont="1" applyFill="1" applyAlignment="1">
      <alignment horizontal="center"/>
    </xf>
    <xf numFmtId="166" fontId="2" fillId="18" borderId="0" xfId="1" applyNumberFormat="1" applyFont="1" applyFill="1" applyAlignment="1">
      <alignment horizontal="center"/>
    </xf>
    <xf numFmtId="165" fontId="0" fillId="18" borderId="0" xfId="0" applyNumberFormat="1" applyFill="1" applyAlignment="1">
      <alignment horizontal="center"/>
    </xf>
    <xf numFmtId="165" fontId="3" fillId="18" borderId="0" xfId="0" applyNumberFormat="1" applyFont="1" applyFill="1" applyAlignment="1">
      <alignment horizontal="center"/>
    </xf>
    <xf numFmtId="37" fontId="3" fillId="18" borderId="0" xfId="0" applyNumberFormat="1" applyFont="1" applyFill="1" applyAlignment="1">
      <alignment horizontal="center"/>
    </xf>
    <xf numFmtId="177" fontId="0" fillId="18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6" fontId="0" fillId="18" borderId="0" xfId="0" applyNumberFormat="1" applyFill="1" applyAlignment="1">
      <alignment horizontal="center"/>
    </xf>
    <xf numFmtId="8" fontId="3" fillId="18" borderId="0" xfId="0" applyNumberFormat="1" applyFont="1" applyFill="1" applyAlignment="1">
      <alignment horizontal="center"/>
    </xf>
    <xf numFmtId="167" fontId="0" fillId="18" borderId="0" xfId="1" applyNumberFormat="1" applyFont="1" applyFill="1" applyAlignment="1">
      <alignment horizontal="center"/>
    </xf>
    <xf numFmtId="2" fontId="0" fillId="18" borderId="0" xfId="1" applyNumberFormat="1" applyFont="1" applyFill="1" applyAlignment="1">
      <alignment horizontal="center"/>
    </xf>
    <xf numFmtId="10" fontId="0" fillId="18" borderId="0" xfId="0" applyNumberFormat="1" applyFill="1" applyAlignment="1">
      <alignment horizontal="center"/>
    </xf>
    <xf numFmtId="166" fontId="0" fillId="18" borderId="0" xfId="0" applyNumberFormat="1" applyFill="1" applyAlignment="1">
      <alignment horizontal="center"/>
    </xf>
    <xf numFmtId="168" fontId="0" fillId="18" borderId="0" xfId="0" applyNumberFormat="1" applyFill="1" applyAlignment="1">
      <alignment horizontal="center"/>
    </xf>
    <xf numFmtId="173" fontId="2" fillId="18" borderId="0" xfId="2" applyNumberFormat="1" applyFont="1" applyFill="1" applyAlignment="1">
      <alignment horizontal="center"/>
    </xf>
    <xf numFmtId="170" fontId="0" fillId="18" borderId="0" xfId="0" applyNumberFormat="1" applyFill="1" applyAlignment="1">
      <alignment horizontal="center"/>
    </xf>
    <xf numFmtId="38" fontId="0" fillId="18" borderId="0" xfId="0" applyNumberFormat="1" applyFill="1" applyAlignment="1">
      <alignment horizontal="center"/>
    </xf>
    <xf numFmtId="164" fontId="3" fillId="18" borderId="0" xfId="0" applyNumberFormat="1" applyFont="1" applyFill="1" applyAlignment="1">
      <alignment horizontal="center"/>
    </xf>
    <xf numFmtId="37" fontId="0" fillId="6" borderId="0" xfId="0" applyNumberFormat="1" applyFill="1" applyAlignment="1">
      <alignment horizontal="center"/>
    </xf>
    <xf numFmtId="164" fontId="0" fillId="0" borderId="0" xfId="2" applyNumberFormat="1" applyFont="1" applyFill="1" applyAlignment="1">
      <alignment horizontal="center"/>
    </xf>
    <xf numFmtId="11" fontId="0" fillId="3" borderId="0" xfId="0" applyNumberFormat="1" applyFill="1"/>
    <xf numFmtId="0" fontId="3" fillId="3" borderId="0" xfId="0" applyFont="1" applyFill="1"/>
    <xf numFmtId="164" fontId="0" fillId="7" borderId="0" xfId="1" applyNumberFormat="1" applyFont="1" applyFill="1" applyAlignment="1">
      <alignment horizontal="center"/>
    </xf>
    <xf numFmtId="164" fontId="0" fillId="3" borderId="0" xfId="0" applyNumberFormat="1" applyFill="1"/>
    <xf numFmtId="0" fontId="3" fillId="6" borderId="0" xfId="0" applyFont="1" applyFill="1"/>
    <xf numFmtId="164" fontId="0" fillId="6" borderId="0" xfId="0" applyNumberFormat="1" applyFill="1"/>
    <xf numFmtId="165" fontId="0" fillId="6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164" fontId="0" fillId="5" borderId="0" xfId="0" applyNumberFormat="1" applyFill="1"/>
    <xf numFmtId="174" fontId="0" fillId="0" borderId="0" xfId="0" applyNumberFormat="1" applyAlignment="1">
      <alignment horizontal="center"/>
    </xf>
    <xf numFmtId="171" fontId="0" fillId="4" borderId="0" xfId="0" applyNumberFormat="1" applyFill="1" applyAlignment="1">
      <alignment horizontal="center"/>
    </xf>
    <xf numFmtId="0" fontId="0" fillId="0" borderId="0" xfId="0" applyFill="1"/>
    <xf numFmtId="171" fontId="0" fillId="0" borderId="0" xfId="0" applyNumberFormat="1" applyFill="1" applyAlignment="1">
      <alignment horizontal="center"/>
    </xf>
    <xf numFmtId="37" fontId="0" fillId="0" borderId="0" xfId="0" applyNumberFormat="1" applyFill="1" applyAlignment="1">
      <alignment horizontal="center"/>
    </xf>
    <xf numFmtId="39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left" indent="4"/>
    </xf>
    <xf numFmtId="165" fontId="0" fillId="0" borderId="0" xfId="0" applyNumberFormat="1" applyFill="1"/>
    <xf numFmtId="170" fontId="0" fillId="0" borderId="0" xfId="0" applyNumberFormat="1" applyFill="1"/>
    <xf numFmtId="164" fontId="0" fillId="0" borderId="0" xfId="0" applyNumberFormat="1" applyFill="1"/>
    <xf numFmtId="0" fontId="0" fillId="16" borderId="0" xfId="0" applyFont="1" applyFill="1"/>
    <xf numFmtId="0" fontId="0" fillId="0" borderId="0" xfId="0" applyFont="1" applyFill="1"/>
    <xf numFmtId="0" fontId="3" fillId="0" borderId="0" xfId="0" applyFont="1" applyFill="1"/>
    <xf numFmtId="0" fontId="0" fillId="0" borderId="0" xfId="0" applyFont="1"/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165" fontId="0" fillId="18" borderId="0" xfId="0" applyNumberFormat="1" applyFont="1" applyFill="1" applyAlignment="1">
      <alignment horizontal="center"/>
    </xf>
    <xf numFmtId="165" fontId="0" fillId="16" borderId="0" xfId="0" applyNumberFormat="1" applyFont="1" applyFill="1" applyAlignment="1">
      <alignment horizontal="center"/>
    </xf>
    <xf numFmtId="165" fontId="0" fillId="0" borderId="0" xfId="0" applyNumberFormat="1" applyFont="1"/>
    <xf numFmtId="164" fontId="0" fillId="0" borderId="0" xfId="0" applyNumberFormat="1" applyFont="1"/>
    <xf numFmtId="0" fontId="3" fillId="19" borderId="0" xfId="0" applyFont="1" applyFill="1"/>
    <xf numFmtId="165" fontId="3" fillId="19" borderId="0" xfId="0" applyNumberFormat="1" applyFont="1" applyFill="1" applyAlignment="1">
      <alignment horizontal="center"/>
    </xf>
    <xf numFmtId="164" fontId="3" fillId="19" borderId="0" xfId="1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1" fontId="0" fillId="18" borderId="0" xfId="0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8" fontId="3" fillId="19" borderId="0" xfId="0" applyNumberFormat="1" applyFont="1" applyFill="1" applyAlignment="1">
      <alignment horizontal="center"/>
    </xf>
    <xf numFmtId="164" fontId="3" fillId="0" borderId="0" xfId="0" applyNumberFormat="1" applyFont="1"/>
    <xf numFmtId="167" fontId="3" fillId="0" borderId="0" xfId="0" applyNumberFormat="1" applyFont="1"/>
    <xf numFmtId="11" fontId="0" fillId="0" borderId="0" xfId="0" applyNumberFormat="1" applyAlignment="1">
      <alignment horizontal="center"/>
    </xf>
    <xf numFmtId="167" fontId="0" fillId="0" borderId="0" xfId="0" applyNumberFormat="1"/>
    <xf numFmtId="2" fontId="0" fillId="0" borderId="0" xfId="2" applyNumberFormat="1" applyFont="1" applyFill="1" applyAlignment="1">
      <alignment horizontal="center"/>
    </xf>
  </cellXfs>
  <cellStyles count="6">
    <cellStyle name="Comma" xfId="3" builtinId="3"/>
    <cellStyle name="Comma 2" xfId="5"/>
    <cellStyle name="Currency" xfId="1" builtinId="4"/>
    <cellStyle name="Normal" xfId="0" builtinId="0"/>
    <cellStyle name="Normal 2" xfId="4"/>
    <cellStyle name="Percent" xfId="2" builtinId="5"/>
  </cellStyles>
  <dxfs count="0"/>
  <tableStyles count="0" defaultTableStyle="TableStyleMedium2" defaultPivotStyle="PivotStyleLight16"/>
  <colors>
    <mruColors>
      <color rgb="FFF0C1C3"/>
      <color rgb="FFA5DBDB"/>
      <color rgb="FF188E31"/>
      <color rgb="FF8A92CE"/>
      <color rgb="FFF5D6FF"/>
      <color rgb="FFDEC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74051166423214"/>
          <c:y val="5.9386659216306398E-2"/>
          <c:w val="0.8445959542917264"/>
          <c:h val="0.7721609323594469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accent1"/>
                </a:solidFill>
                <a:prstDash val="lgDash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9644350338560621"/>
                  <c:y val="-0.4529673152558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'Upgrading and Injection Capital'!$B$12:$E$12</c:f>
              <c:numCache>
                <c:formatCode>0.0</c:formatCode>
                <c:ptCount val="4"/>
                <c:pt idx="0">
                  <c:v>2.7431452177187938</c:v>
                </c:pt>
                <c:pt idx="1">
                  <c:v>9.7065138473126549</c:v>
                </c:pt>
                <c:pt idx="2">
                  <c:v>22.683700838828486</c:v>
                </c:pt>
                <c:pt idx="3">
                  <c:v>76.280538169641844</c:v>
                </c:pt>
              </c:numCache>
            </c:numRef>
          </c:xVal>
          <c:yVal>
            <c:numRef>
              <c:f>'Upgrading and Injection Capital'!$B$25:$E$25</c:f>
              <c:numCache>
                <c:formatCode>"$"#,##0.0000_);[Red]\("$"#,##0.0000\)</c:formatCode>
                <c:ptCount val="4"/>
                <c:pt idx="0">
                  <c:v>13.602397054726595</c:v>
                </c:pt>
                <c:pt idx="1">
                  <c:v>7.8013747667022928</c:v>
                </c:pt>
                <c:pt idx="2">
                  <c:v>5.9921850359499178</c:v>
                </c:pt>
                <c:pt idx="3">
                  <c:v>2.7575168224089852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7D-4502-89D4-C192D36C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491344"/>
        <c:axId val="1147502160"/>
      </c:scatterChart>
      <c:valAx>
        <c:axId val="114749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Methane Flow (GJ</a:t>
                </a:r>
                <a:r>
                  <a:rPr lang="en-US" sz="2000" b="1" baseline="0"/>
                  <a:t> </a:t>
                </a:r>
                <a:r>
                  <a:rPr lang="en-US" sz="2000" b="1"/>
                  <a:t>hr</a:t>
                </a:r>
                <a:r>
                  <a:rPr lang="en-US" sz="2000" b="1" baseline="30000"/>
                  <a:t>-1</a:t>
                </a:r>
                <a:r>
                  <a:rPr lang="en-US" sz="2000" b="1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502160"/>
        <c:crosses val="autoZero"/>
        <c:crossBetween val="midCat"/>
      </c:valAx>
      <c:valAx>
        <c:axId val="114750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Capital Cost (USD</a:t>
                </a:r>
                <a:r>
                  <a:rPr lang="en-US" sz="2000" b="1" baseline="0"/>
                  <a:t> </a:t>
                </a:r>
                <a:r>
                  <a:rPr lang="en-US" sz="2000" b="1"/>
                  <a:t>GJ</a:t>
                </a:r>
                <a:r>
                  <a:rPr lang="en-US" sz="2000" b="1" baseline="30000"/>
                  <a:t>-1</a:t>
                </a:r>
                <a:r>
                  <a:rPr lang="en-US" sz="2000" b="1"/>
                  <a:t>)</a:t>
                </a:r>
              </a:p>
            </c:rich>
          </c:tx>
          <c:layout>
            <c:manualLayout>
              <c:xMode val="edge"/>
              <c:yMode val="edge"/>
              <c:x val="1.7116912660512528E-2"/>
              <c:y val="0.161361611714862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4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58129256877001"/>
          <c:y val="0.14947564123293663"/>
          <c:w val="0.8711981785409354"/>
          <c:h val="0.78913715310523902"/>
        </c:manualLayout>
      </c:layout>
      <c:scatterChart>
        <c:scatterStyle val="lineMarker"/>
        <c:varyColors val="0"/>
        <c:ser>
          <c:idx val="1"/>
          <c:order val="0"/>
          <c:tx>
            <c:v>S4 (Manure Transport)</c:v>
          </c:tx>
          <c:spPr>
            <a:ln w="381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Effects'!$C$6:$C$47</c:f>
              <c:numCache>
                <c:formatCode>"$"#,##0.00</c:formatCode>
                <c:ptCount val="42"/>
                <c:pt idx="0">
                  <c:v>3.9611763741510231</c:v>
                </c:pt>
                <c:pt idx="1">
                  <c:v>-3.7957460315163019</c:v>
                </c:pt>
                <c:pt idx="2">
                  <c:v>-2.2443615503828411</c:v>
                </c:pt>
                <c:pt idx="3">
                  <c:v>-0.6929770692493733</c:v>
                </c:pt>
                <c:pt idx="4">
                  <c:v>0.85840741188408742</c:v>
                </c:pt>
                <c:pt idx="5">
                  <c:v>2.4097918930175553</c:v>
                </c:pt>
                <c:pt idx="6">
                  <c:v>3.9611763741510231</c:v>
                </c:pt>
                <c:pt idx="7">
                  <c:v>5.5125608552844909</c:v>
                </c:pt>
                <c:pt idx="8">
                  <c:v>7.0639453364179445</c:v>
                </c:pt>
                <c:pt idx="9">
                  <c:v>8.6153298175514195</c:v>
                </c:pt>
                <c:pt idx="10">
                  <c:v>10.166714298684887</c:v>
                </c:pt>
                <c:pt idx="11">
                  <c:v>11.718098779818348</c:v>
                </c:pt>
                <c:pt idx="12">
                  <c:v>13.269483260951816</c:v>
                </c:pt>
                <c:pt idx="13">
                  <c:v>14.820867742085269</c:v>
                </c:pt>
                <c:pt idx="14">
                  <c:v>16.372252223218752</c:v>
                </c:pt>
                <c:pt idx="15">
                  <c:v>17.923636704352205</c:v>
                </c:pt>
                <c:pt idx="16">
                  <c:v>19.475021185485673</c:v>
                </c:pt>
                <c:pt idx="17">
                  <c:v>21.026405666619141</c:v>
                </c:pt>
                <c:pt idx="18">
                  <c:v>22.577790147752609</c:v>
                </c:pt>
                <c:pt idx="19">
                  <c:v>24.129174628886076</c:v>
                </c:pt>
                <c:pt idx="20">
                  <c:v>25.680559110019523</c:v>
                </c:pt>
                <c:pt idx="21">
                  <c:v>27.231943591152991</c:v>
                </c:pt>
                <c:pt idx="22">
                  <c:v>28.783328072286459</c:v>
                </c:pt>
                <c:pt idx="23">
                  <c:v>30.334712553419912</c:v>
                </c:pt>
                <c:pt idx="24">
                  <c:v>31.88609703455338</c:v>
                </c:pt>
                <c:pt idx="25">
                  <c:v>33.437481515686848</c:v>
                </c:pt>
                <c:pt idx="26">
                  <c:v>34.988865996820316</c:v>
                </c:pt>
                <c:pt idx="27">
                  <c:v>36.540250477953784</c:v>
                </c:pt>
                <c:pt idx="28">
                  <c:v>38.091634959087251</c:v>
                </c:pt>
                <c:pt idx="29">
                  <c:v>39.643019440220705</c:v>
                </c:pt>
                <c:pt idx="30">
                  <c:v>41.194403921354173</c:v>
                </c:pt>
                <c:pt idx="31">
                  <c:v>42.745788402487641</c:v>
                </c:pt>
                <c:pt idx="32">
                  <c:v>44.297172883621108</c:v>
                </c:pt>
                <c:pt idx="33">
                  <c:v>45.848557364754562</c:v>
                </c:pt>
                <c:pt idx="34">
                  <c:v>47.39994184588803</c:v>
                </c:pt>
                <c:pt idx="35">
                  <c:v>48.951326327021498</c:v>
                </c:pt>
                <c:pt idx="36">
                  <c:v>50.502710808154951</c:v>
                </c:pt>
                <c:pt idx="37">
                  <c:v>52.054095289288433</c:v>
                </c:pt>
                <c:pt idx="38">
                  <c:v>53.605479770421887</c:v>
                </c:pt>
                <c:pt idx="39">
                  <c:v>55.156864251555355</c:v>
                </c:pt>
                <c:pt idx="40">
                  <c:v>56.708248732688823</c:v>
                </c:pt>
                <c:pt idx="41">
                  <c:v>58.259633213822291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E-48F8-ADBF-E7F844202D6A}"/>
            </c:ext>
          </c:extLst>
        </c:ser>
        <c:ser>
          <c:idx val="2"/>
          <c:order val="1"/>
          <c:tx>
            <c:v>S3 (Biogas Transport, EPA)</c:v>
          </c:tx>
          <c:spPr>
            <a:ln w="571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Effects'!$G$6:$G$47</c:f>
              <c:numCache>
                <c:formatCode>"$"#,##0.00</c:formatCode>
                <c:ptCount val="42"/>
                <c:pt idx="0">
                  <c:v>33.200381277771456</c:v>
                </c:pt>
                <c:pt idx="1">
                  <c:v>2.0627430999124812</c:v>
                </c:pt>
                <c:pt idx="2">
                  <c:v>10.089935921848237</c:v>
                </c:pt>
                <c:pt idx="3">
                  <c:v>15.867547260829042</c:v>
                </c:pt>
                <c:pt idx="4">
                  <c:v>21.645158599809847</c:v>
                </c:pt>
                <c:pt idx="5">
                  <c:v>27.422769938790651</c:v>
                </c:pt>
                <c:pt idx="6">
                  <c:v>33.200381277771456</c:v>
                </c:pt>
                <c:pt idx="7">
                  <c:v>38.977992616752275</c:v>
                </c:pt>
                <c:pt idx="8">
                  <c:v>44.755603955733065</c:v>
                </c:pt>
                <c:pt idx="9">
                  <c:v>50.533215294713855</c:v>
                </c:pt>
                <c:pt idx="10">
                  <c:v>56.310826633694674</c:v>
                </c:pt>
                <c:pt idx="11">
                  <c:v>62.088437972675493</c:v>
                </c:pt>
                <c:pt idx="12">
                  <c:v>67.866049311656283</c:v>
                </c:pt>
                <c:pt idx="13">
                  <c:v>73.643660650637088</c:v>
                </c:pt>
                <c:pt idx="14">
                  <c:v>79.421271989617907</c:v>
                </c:pt>
                <c:pt idx="15">
                  <c:v>85.198883328598725</c:v>
                </c:pt>
                <c:pt idx="16">
                  <c:v>90.976494667579502</c:v>
                </c:pt>
                <c:pt idx="17">
                  <c:v>96.75410600656032</c:v>
                </c:pt>
                <c:pt idx="18">
                  <c:v>102.53171734554114</c:v>
                </c:pt>
                <c:pt idx="19">
                  <c:v>108.30932868452199</c:v>
                </c:pt>
                <c:pt idx="20">
                  <c:v>114.08694002350278</c:v>
                </c:pt>
                <c:pt idx="21">
                  <c:v>119.86455136248357</c:v>
                </c:pt>
                <c:pt idx="22">
                  <c:v>125.64216270146436</c:v>
                </c:pt>
                <c:pt idx="23">
                  <c:v>131.41977404044519</c:v>
                </c:pt>
                <c:pt idx="24">
                  <c:v>137.19738537942601</c:v>
                </c:pt>
                <c:pt idx="25">
                  <c:v>142.97499671840683</c:v>
                </c:pt>
                <c:pt idx="26">
                  <c:v>148.75260805738759</c:v>
                </c:pt>
                <c:pt idx="27">
                  <c:v>154.53021939636841</c:v>
                </c:pt>
                <c:pt idx="28">
                  <c:v>160.30783073534923</c:v>
                </c:pt>
                <c:pt idx="29">
                  <c:v>166.08544207433005</c:v>
                </c:pt>
                <c:pt idx="30">
                  <c:v>171.86305341331087</c:v>
                </c:pt>
                <c:pt idx="31">
                  <c:v>177.64066475229163</c:v>
                </c:pt>
                <c:pt idx="32">
                  <c:v>183.4182760912725</c:v>
                </c:pt>
                <c:pt idx="33">
                  <c:v>189.19588743025332</c:v>
                </c:pt>
                <c:pt idx="34">
                  <c:v>194.97349876923414</c:v>
                </c:pt>
                <c:pt idx="35">
                  <c:v>200.75111010821485</c:v>
                </c:pt>
                <c:pt idx="36">
                  <c:v>206.52872144719566</c:v>
                </c:pt>
                <c:pt idx="37">
                  <c:v>212.30633278617648</c:v>
                </c:pt>
                <c:pt idx="38">
                  <c:v>218.0839441251573</c:v>
                </c:pt>
                <c:pt idx="39">
                  <c:v>223.86155546413806</c:v>
                </c:pt>
                <c:pt idx="40">
                  <c:v>229.63916680311894</c:v>
                </c:pt>
                <c:pt idx="41">
                  <c:v>235.4167781420997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9E-48F8-ADBF-E7F844202D6A}"/>
            </c:ext>
          </c:extLst>
        </c:ser>
        <c:ser>
          <c:idx val="3"/>
          <c:order val="2"/>
          <c:tx>
            <c:v>S3 (Biogas Transport, Hengeveld Lowest)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Effects'!$K$6:$K$47</c:f>
              <c:numCache>
                <c:formatCode>"$"#,##0.00</c:formatCode>
                <c:ptCount val="42"/>
                <c:pt idx="0">
                  <c:v>6.623369118459749</c:v>
                </c:pt>
                <c:pt idx="1">
                  <c:v>2.0627430999124812</c:v>
                </c:pt>
                <c:pt idx="2">
                  <c:v>4.7745334899858847</c:v>
                </c:pt>
                <c:pt idx="3">
                  <c:v>5.2367423971043578</c:v>
                </c:pt>
                <c:pt idx="4">
                  <c:v>5.6989513042228239</c:v>
                </c:pt>
                <c:pt idx="5">
                  <c:v>6.1611602113412829</c:v>
                </c:pt>
                <c:pt idx="6">
                  <c:v>6.623369118459749</c:v>
                </c:pt>
                <c:pt idx="7">
                  <c:v>7.085578025578215</c:v>
                </c:pt>
                <c:pt idx="8">
                  <c:v>7.5477869326966811</c:v>
                </c:pt>
                <c:pt idx="9">
                  <c:v>8.0099958398151401</c:v>
                </c:pt>
                <c:pt idx="10">
                  <c:v>8.4722047469336133</c:v>
                </c:pt>
                <c:pt idx="11">
                  <c:v>8.9344136540520722</c:v>
                </c:pt>
                <c:pt idx="12">
                  <c:v>9.3966225611705312</c:v>
                </c:pt>
                <c:pt idx="13">
                  <c:v>9.8588314682889973</c:v>
                </c:pt>
                <c:pt idx="14">
                  <c:v>10.321040375407463</c:v>
                </c:pt>
                <c:pt idx="15">
                  <c:v>10.783249282525929</c:v>
                </c:pt>
                <c:pt idx="16">
                  <c:v>11.245458189644395</c:v>
                </c:pt>
                <c:pt idx="17">
                  <c:v>11.707667096762854</c:v>
                </c:pt>
                <c:pt idx="18">
                  <c:v>12.169876003881328</c:v>
                </c:pt>
                <c:pt idx="19">
                  <c:v>12.632084910999779</c:v>
                </c:pt>
                <c:pt idx="20">
                  <c:v>13.094293818118253</c:v>
                </c:pt>
                <c:pt idx="21">
                  <c:v>13.556502725236719</c:v>
                </c:pt>
                <c:pt idx="22">
                  <c:v>14.018711632355178</c:v>
                </c:pt>
                <c:pt idx="23">
                  <c:v>14.480920539473644</c:v>
                </c:pt>
                <c:pt idx="24">
                  <c:v>14.94312944659211</c:v>
                </c:pt>
                <c:pt idx="25">
                  <c:v>15.405338353710576</c:v>
                </c:pt>
                <c:pt idx="26">
                  <c:v>15.867547260829042</c:v>
                </c:pt>
                <c:pt idx="27">
                  <c:v>16.329756167947508</c:v>
                </c:pt>
                <c:pt idx="28">
                  <c:v>16.791965075065967</c:v>
                </c:pt>
                <c:pt idx="29">
                  <c:v>17.25417398218444</c:v>
                </c:pt>
                <c:pt idx="30">
                  <c:v>17.716382889302892</c:v>
                </c:pt>
                <c:pt idx="31">
                  <c:v>18.178591796421365</c:v>
                </c:pt>
                <c:pt idx="32">
                  <c:v>18.640800703539824</c:v>
                </c:pt>
                <c:pt idx="33">
                  <c:v>19.10300961065829</c:v>
                </c:pt>
                <c:pt idx="34">
                  <c:v>19.565218517776749</c:v>
                </c:pt>
                <c:pt idx="35">
                  <c:v>20.027427424895222</c:v>
                </c:pt>
                <c:pt idx="36">
                  <c:v>20.489636332013681</c:v>
                </c:pt>
                <c:pt idx="37">
                  <c:v>20.951845239132147</c:v>
                </c:pt>
                <c:pt idx="38">
                  <c:v>21.414054146250621</c:v>
                </c:pt>
                <c:pt idx="39">
                  <c:v>21.876263053369087</c:v>
                </c:pt>
                <c:pt idx="40">
                  <c:v>22.338471960487539</c:v>
                </c:pt>
                <c:pt idx="41">
                  <c:v>22.800680867606005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9E-48F8-ADBF-E7F844202D6A}"/>
            </c:ext>
          </c:extLst>
        </c:ser>
        <c:ser>
          <c:idx val="4"/>
          <c:order val="3"/>
          <c:tx>
            <c:v>S3 (Biogas Transport, Hengeveld Highest)</c:v>
          </c:tx>
          <c:spPr>
            <a:ln w="571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Effects'!$O$6:$O$47</c:f>
              <c:numCache>
                <c:formatCode>"$"#,##0.00</c:formatCode>
                <c:ptCount val="42"/>
                <c:pt idx="0">
                  <c:v>17.997168096774743</c:v>
                </c:pt>
                <c:pt idx="1">
                  <c:v>0.57208188916827396</c:v>
                </c:pt>
                <c:pt idx="2">
                  <c:v>4.1309008832208107</c:v>
                </c:pt>
                <c:pt idx="3">
                  <c:v>7.597467686609285</c:v>
                </c:pt>
                <c:pt idx="4">
                  <c:v>11.06403448999778</c:v>
                </c:pt>
                <c:pt idx="5">
                  <c:v>14.530601293386269</c:v>
                </c:pt>
                <c:pt idx="6">
                  <c:v>17.997168096774743</c:v>
                </c:pt>
                <c:pt idx="7">
                  <c:v>21.463734900163232</c:v>
                </c:pt>
                <c:pt idx="8">
                  <c:v>24.930301703551706</c:v>
                </c:pt>
                <c:pt idx="9">
                  <c:v>28.396868506940208</c:v>
                </c:pt>
                <c:pt idx="10">
                  <c:v>31.863435310328683</c:v>
                </c:pt>
                <c:pt idx="11">
                  <c:v>35.330002113717157</c:v>
                </c:pt>
                <c:pt idx="12">
                  <c:v>38.796568917105631</c:v>
                </c:pt>
                <c:pt idx="13">
                  <c:v>42.26313572049412</c:v>
                </c:pt>
                <c:pt idx="14">
                  <c:v>45.729702523882608</c:v>
                </c:pt>
                <c:pt idx="15">
                  <c:v>49.196269327271096</c:v>
                </c:pt>
                <c:pt idx="16">
                  <c:v>52.662836130659585</c:v>
                </c:pt>
                <c:pt idx="17">
                  <c:v>56.129402934048073</c:v>
                </c:pt>
                <c:pt idx="18">
                  <c:v>59.595969737436533</c:v>
                </c:pt>
                <c:pt idx="19">
                  <c:v>63.062536540825022</c:v>
                </c:pt>
                <c:pt idx="20">
                  <c:v>66.52910334421351</c:v>
                </c:pt>
                <c:pt idx="21">
                  <c:v>69.995670147601984</c:v>
                </c:pt>
                <c:pt idx="22">
                  <c:v>73.462236950990473</c:v>
                </c:pt>
                <c:pt idx="23">
                  <c:v>76.928803754378961</c:v>
                </c:pt>
                <c:pt idx="24">
                  <c:v>80.39537055776745</c:v>
                </c:pt>
                <c:pt idx="25">
                  <c:v>83.861937361155938</c:v>
                </c:pt>
                <c:pt idx="26">
                  <c:v>87.328504164544412</c:v>
                </c:pt>
                <c:pt idx="27">
                  <c:v>90.795070967932915</c:v>
                </c:pt>
                <c:pt idx="28">
                  <c:v>94.261637771321389</c:v>
                </c:pt>
                <c:pt idx="29">
                  <c:v>97.728204574709864</c:v>
                </c:pt>
                <c:pt idx="30">
                  <c:v>101.19477137809834</c:v>
                </c:pt>
                <c:pt idx="31">
                  <c:v>104.66133818148684</c:v>
                </c:pt>
                <c:pt idx="32">
                  <c:v>108.12790498487534</c:v>
                </c:pt>
                <c:pt idx="33">
                  <c:v>111.59447178826379</c:v>
                </c:pt>
                <c:pt idx="34">
                  <c:v>115.06103859165232</c:v>
                </c:pt>
                <c:pt idx="35">
                  <c:v>118.52760539504082</c:v>
                </c:pt>
                <c:pt idx="36">
                  <c:v>121.99417219842927</c:v>
                </c:pt>
                <c:pt idx="37">
                  <c:v>125.46073900181777</c:v>
                </c:pt>
                <c:pt idx="38">
                  <c:v>128.92730580520623</c:v>
                </c:pt>
                <c:pt idx="39">
                  <c:v>132.39387260859473</c:v>
                </c:pt>
                <c:pt idx="40">
                  <c:v>135.86043941198318</c:v>
                </c:pt>
                <c:pt idx="41">
                  <c:v>139.32700621537174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E-48F8-ADBF-E7F844202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03856"/>
        <c:axId val="873008016"/>
      </c:scatterChart>
      <c:valAx>
        <c:axId val="873003856"/>
        <c:scaling>
          <c:orientation val="minMax"/>
          <c:max val="32.186999999999998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400" b="1">
                    <a:solidFill>
                      <a:sysClr val="windowText" lastClr="000000"/>
                    </a:solidFill>
                  </a:rPr>
                  <a:t>Biogas/Manure</a:t>
                </a:r>
                <a:r>
                  <a:rPr lang="en-US" sz="2400" b="1" baseline="0">
                    <a:solidFill>
                      <a:sysClr val="windowText" lastClr="000000"/>
                    </a:solidFill>
                  </a:rPr>
                  <a:t> Transportation Distance (km)</a:t>
                </a:r>
                <a:endParaRPr lang="en-US" sz="24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8016"/>
        <c:crosses val="autoZero"/>
        <c:crossBetween val="midCat"/>
        <c:majorUnit val="5"/>
      </c:valAx>
      <c:valAx>
        <c:axId val="873008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400" b="1"/>
                  <a:t>Minimum</a:t>
                </a:r>
                <a:r>
                  <a:rPr lang="en-US" sz="2400" b="1" baseline="0"/>
                  <a:t> Selling Price (USD GJ</a:t>
                </a:r>
                <a:r>
                  <a:rPr lang="en-US" sz="2400" b="1" baseline="30000"/>
                  <a:t>-1</a:t>
                </a:r>
                <a:r>
                  <a:rPr lang="en-US" sz="2400" b="1" baseline="0"/>
                  <a:t>)</a:t>
                </a:r>
                <a:endParaRPr lang="en-US" sz="2400" b="1"/>
              </a:p>
            </c:rich>
          </c:tx>
          <c:layout>
            <c:manualLayout>
              <c:xMode val="edge"/>
              <c:yMode val="edge"/>
              <c:x val="1.0321074323540883E-2"/>
              <c:y val="0.24793657619918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647113387934942"/>
          <c:y val="1.2422358223315853E-2"/>
          <c:w val="0.75918624629752607"/>
          <c:h val="7.6711811559672716E-2"/>
        </c:manualLayout>
      </c:layout>
      <c:overlay val="0"/>
      <c:spPr>
        <a:noFill/>
        <a:ln w="9525"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338075</xdr:colOff>
      <xdr:row>1</xdr:row>
      <xdr:rowOff>32390</xdr:rowOff>
    </xdr:from>
    <xdr:to>
      <xdr:col>11</xdr:col>
      <xdr:colOff>520302</xdr:colOff>
      <xdr:row>2</xdr:row>
      <xdr:rowOff>169861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516718" y="263711"/>
          <a:ext cx="2713155" cy="368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Do not edit SI labeled/green cells</a:t>
          </a:r>
        </a:p>
      </xdr:txBody>
    </xdr:sp>
    <xdr:clientData/>
  </xdr:twoCellAnchor>
  <xdr:twoCellAnchor>
    <xdr:from>
      <xdr:col>8</xdr:col>
      <xdr:colOff>393888</xdr:colOff>
      <xdr:row>3</xdr:row>
      <xdr:rowOff>202916</xdr:rowOff>
    </xdr:from>
    <xdr:to>
      <xdr:col>12</xdr:col>
      <xdr:colOff>195696</xdr:colOff>
      <xdr:row>6</xdr:row>
      <xdr:rowOff>54428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4572531" y="896880"/>
          <a:ext cx="3176379" cy="54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Manure type -</a:t>
          </a:r>
          <a:r>
            <a:rPr lang="en-US" sz="1400" b="1" baseline="0"/>
            <a:t> Swine</a:t>
          </a:r>
        </a:p>
        <a:p>
          <a:r>
            <a:rPr lang="en-US" sz="1400" b="1" baseline="0"/>
            <a:t>Biomass Type - Corn Stover</a:t>
          </a:r>
          <a:endParaRPr lang="en-US" sz="1400" b="1"/>
        </a:p>
      </xdr:txBody>
    </xdr:sp>
    <xdr:clientData/>
  </xdr:twoCellAnchor>
  <xdr:twoCellAnchor>
    <xdr:from>
      <xdr:col>9</xdr:col>
      <xdr:colOff>371929</xdr:colOff>
      <xdr:row>14</xdr:row>
      <xdr:rowOff>108858</xdr:rowOff>
    </xdr:from>
    <xdr:to>
      <xdr:col>18</xdr:col>
      <xdr:colOff>613184</xdr:colOff>
      <xdr:row>24</xdr:row>
      <xdr:rowOff>108858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394215" y="3347358"/>
          <a:ext cx="7834040" cy="23132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r>
            <a:rPr lang="en-US" sz="1400" baseline="0"/>
            <a:t>Hidden columns are comparators for S1 and S4 with no corn stover additions.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576495</xdr:colOff>
      <xdr:row>4</xdr:row>
      <xdr:rowOff>83381</xdr:rowOff>
    </xdr:from>
    <xdr:to>
      <xdr:col>10</xdr:col>
      <xdr:colOff>1277113</xdr:colOff>
      <xdr:row>5</xdr:row>
      <xdr:rowOff>204108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265281" y="1008667"/>
          <a:ext cx="4782761" cy="3520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Do</a:t>
          </a:r>
          <a:r>
            <a:rPr lang="en-US" sz="1600" baseline="0"/>
            <a:t> not edit this page</a:t>
          </a:r>
          <a:endParaRPr lang="en-US" sz="1600"/>
        </a:p>
      </xdr:txBody>
    </xdr:sp>
    <xdr:clientData/>
  </xdr:twoCellAnchor>
  <xdr:twoCellAnchor>
    <xdr:from>
      <xdr:col>8</xdr:col>
      <xdr:colOff>217716</xdr:colOff>
      <xdr:row>8</xdr:row>
      <xdr:rowOff>81644</xdr:rowOff>
    </xdr:from>
    <xdr:to>
      <xdr:col>11</xdr:col>
      <xdr:colOff>1115787</xdr:colOff>
      <xdr:row>17</xdr:row>
      <xdr:rowOff>27216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3906502" y="1932215"/>
          <a:ext cx="7089321" cy="20274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2</xdr:row>
      <xdr:rowOff>19051</xdr:rowOff>
    </xdr:from>
    <xdr:to>
      <xdr:col>11</xdr:col>
      <xdr:colOff>10949</xdr:colOff>
      <xdr:row>13</xdr:row>
      <xdr:rowOff>175172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004644" y="413189"/>
          <a:ext cx="3549322" cy="21268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</a:t>
          </a:r>
          <a:r>
            <a:rPr lang="en-US" sz="1100" baseline="0"/>
            <a:t> from:</a:t>
          </a:r>
        </a:p>
        <a:p>
          <a:endParaRPr lang="en-US" sz="1100" baseline="0"/>
        </a:p>
        <a:p>
          <a:r>
            <a:rPr lang="en-US" sz="1100" baseline="0"/>
            <a:t>EPA: Evaluating the Air Quality, Climate, and Economic Impacts of Biogas Management Technologies</a:t>
          </a:r>
        </a:p>
        <a:p>
          <a:endParaRPr lang="en-US" sz="1100" baseline="0"/>
        </a:p>
        <a:p>
          <a:r>
            <a:rPr lang="en-US" sz="1100"/>
            <a:t>EPA/600/R-16/099 September 2016</a:t>
          </a:r>
        </a:p>
        <a:p>
          <a:endParaRPr lang="en-US" sz="1100"/>
        </a:p>
        <a:p>
          <a:r>
            <a:rPr lang="en-US" sz="1100"/>
            <a:t>https://nepis.epa.gov/Exe/ZyPDF.cgi/P100QCXZ.PDF?Dockey=P100QCXZ.PDF</a:t>
          </a:r>
        </a:p>
        <a:p>
          <a:endParaRPr lang="en-US" sz="1100"/>
        </a:p>
        <a:p>
          <a:r>
            <a:rPr lang="en-US" sz="1100"/>
            <a:t>Table</a:t>
          </a:r>
          <a:r>
            <a:rPr lang="en-US" sz="1100" baseline="0"/>
            <a:t> 29</a:t>
          </a:r>
          <a:endParaRPr lang="en-US" sz="1100"/>
        </a:p>
      </xdr:txBody>
    </xdr:sp>
    <xdr:clientData/>
  </xdr:twoCellAnchor>
  <xdr:twoCellAnchor>
    <xdr:from>
      <xdr:col>0</xdr:col>
      <xdr:colOff>688553</xdr:colOff>
      <xdr:row>36</xdr:row>
      <xdr:rowOff>75586</xdr:rowOff>
    </xdr:from>
    <xdr:to>
      <xdr:col>7</xdr:col>
      <xdr:colOff>275419</xdr:colOff>
      <xdr:row>65</xdr:row>
      <xdr:rowOff>80330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503724</xdr:colOff>
      <xdr:row>2</xdr:row>
      <xdr:rowOff>104079</xdr:rowOff>
    </xdr:from>
    <xdr:to>
      <xdr:col>15</xdr:col>
      <xdr:colOff>680358</xdr:colOff>
      <xdr:row>12</xdr:row>
      <xdr:rowOff>40821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375831" y="566722"/>
          <a:ext cx="6367884" cy="2249956"/>
        </a:xfrm>
        <a:prstGeom prst="rect">
          <a:avLst/>
        </a:prstGeom>
        <a:solidFill>
          <a:schemeClr val="lt1"/>
        </a:solidFill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Hidden columns are comparators for S1 and S4 with no corn stover additions.</a:t>
          </a:r>
          <a:endParaRPr lang="en-US" sz="1400">
            <a:effectLst/>
          </a:endParaRPr>
        </a:p>
        <a:p>
          <a:endParaRPr lang="en-US" sz="1400" baseline="0"/>
        </a:p>
        <a:p>
          <a:endParaRPr lang="en-US" sz="1400" baseline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406399</xdr:colOff>
      <xdr:row>3</xdr:row>
      <xdr:rowOff>135466</xdr:rowOff>
    </xdr:from>
    <xdr:to>
      <xdr:col>8</xdr:col>
      <xdr:colOff>1879600</xdr:colOff>
      <xdr:row>6</xdr:row>
      <xdr:rowOff>135467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481732" y="541866"/>
          <a:ext cx="3166535" cy="609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Biomass harvest rate and Nitrogen</a:t>
          </a:r>
          <a:r>
            <a:rPr lang="en-US" sz="1400" baseline="0"/>
            <a:t> application rate are inputs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117474</xdr:colOff>
      <xdr:row>3</xdr:row>
      <xdr:rowOff>32654</xdr:rowOff>
    </xdr:from>
    <xdr:to>
      <xdr:col>37</xdr:col>
      <xdr:colOff>254000</xdr:colOff>
      <xdr:row>43</xdr:row>
      <xdr:rowOff>158749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1142999</xdr:colOff>
      <xdr:row>10</xdr:row>
      <xdr:rowOff>171450</xdr:rowOff>
    </xdr:from>
    <xdr:to>
      <xdr:col>13</xdr:col>
      <xdr:colOff>428624</xdr:colOff>
      <xdr:row>15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8701999" y="2393950"/>
          <a:ext cx="2492375" cy="100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This sheet uses</a:t>
          </a:r>
          <a:r>
            <a:rPr lang="en-US" sz="1400" b="1" baseline="0"/>
            <a:t> VBA code</a:t>
          </a:r>
        </a:p>
        <a:p>
          <a:endParaRPr lang="en-US" sz="1400" b="1" baseline="0"/>
        </a:p>
        <a:p>
          <a:r>
            <a:rPr lang="en-US" sz="1400" b="1" baseline="0"/>
            <a:t>Last ran 2/28/23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ColWidth="11" defaultRowHeight="15.75"/>
  <cols>
    <col min="1" max="3" width="18.5" customWidth="1"/>
    <col min="4" max="4" width="21.5" customWidth="1"/>
    <col min="5" max="9" width="18.5" customWidth="1"/>
  </cols>
  <sheetData>
    <row r="1" spans="1:12" ht="31.15" customHeight="1">
      <c r="A1" s="26" t="s">
        <v>116</v>
      </c>
      <c r="B1" s="26" t="s">
        <v>119</v>
      </c>
      <c r="C1" s="26" t="s">
        <v>79</v>
      </c>
      <c r="D1" s="26" t="s">
        <v>124</v>
      </c>
      <c r="E1" s="26" t="s">
        <v>122</v>
      </c>
      <c r="F1" s="26" t="s">
        <v>123</v>
      </c>
      <c r="G1" s="26" t="s">
        <v>131</v>
      </c>
      <c r="H1" s="26" t="s">
        <v>127</v>
      </c>
      <c r="I1" s="26" t="s">
        <v>129</v>
      </c>
    </row>
    <row r="2" spans="1:12" ht="67.150000000000006" customHeight="1">
      <c r="A2" s="19">
        <v>1</v>
      </c>
      <c r="B2" s="19" t="s">
        <v>117</v>
      </c>
      <c r="C2" s="19">
        <v>1</v>
      </c>
      <c r="D2" s="19" t="s">
        <v>121</v>
      </c>
      <c r="E2" s="19" t="s">
        <v>125</v>
      </c>
      <c r="F2" s="19" t="s">
        <v>125</v>
      </c>
      <c r="G2" s="19" t="s">
        <v>125</v>
      </c>
      <c r="H2" s="19" t="s">
        <v>128</v>
      </c>
      <c r="I2" s="19" t="s">
        <v>260</v>
      </c>
    </row>
    <row r="3" spans="1:12" ht="67.150000000000006" customHeight="1">
      <c r="A3" s="20">
        <v>2</v>
      </c>
      <c r="B3" s="20" t="s">
        <v>117</v>
      </c>
      <c r="C3" s="20">
        <v>1</v>
      </c>
      <c r="D3" s="20" t="s">
        <v>121</v>
      </c>
      <c r="E3" s="20" t="s">
        <v>125</v>
      </c>
      <c r="F3" s="20" t="s">
        <v>125</v>
      </c>
      <c r="G3" s="20" t="s">
        <v>126</v>
      </c>
      <c r="H3" s="20" t="s">
        <v>128</v>
      </c>
      <c r="I3" s="21" t="s">
        <v>133</v>
      </c>
    </row>
    <row r="4" spans="1:12" ht="67.150000000000006" customHeight="1">
      <c r="A4" s="22">
        <v>3</v>
      </c>
      <c r="B4" s="22" t="s">
        <v>117</v>
      </c>
      <c r="C4" s="22">
        <v>5</v>
      </c>
      <c r="D4" s="22" t="s">
        <v>120</v>
      </c>
      <c r="E4" s="22" t="s">
        <v>125</v>
      </c>
      <c r="F4" s="22" t="s">
        <v>126</v>
      </c>
      <c r="G4" s="22" t="s">
        <v>126</v>
      </c>
      <c r="H4" s="22" t="s">
        <v>128</v>
      </c>
      <c r="I4" s="23" t="s">
        <v>130</v>
      </c>
    </row>
    <row r="5" spans="1:12" ht="67.150000000000006" customHeight="1">
      <c r="A5" s="24">
        <v>4</v>
      </c>
      <c r="B5" s="24" t="s">
        <v>118</v>
      </c>
      <c r="C5" s="24">
        <v>5</v>
      </c>
      <c r="D5" s="24" t="s">
        <v>376</v>
      </c>
      <c r="E5" s="24" t="s">
        <v>126</v>
      </c>
      <c r="F5" s="24" t="s">
        <v>125</v>
      </c>
      <c r="G5" s="24" t="s">
        <v>126</v>
      </c>
      <c r="H5" s="24" t="s">
        <v>128</v>
      </c>
      <c r="I5" s="25" t="s">
        <v>132</v>
      </c>
    </row>
    <row r="12" spans="1:12">
      <c r="L12" t="s">
        <v>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2"/>
  <sheetViews>
    <sheetView zoomScale="70" zoomScaleNormal="70" workbookViewId="0">
      <selection activeCell="A47" sqref="A47"/>
    </sheetView>
  </sheetViews>
  <sheetFormatPr defaultColWidth="11" defaultRowHeight="15.75"/>
  <cols>
    <col min="1" max="1" width="61" bestFit="1" customWidth="1"/>
    <col min="2" max="2" width="25" customWidth="1"/>
    <col min="3" max="3" width="25" hidden="1" customWidth="1"/>
    <col min="4" max="7" width="25" customWidth="1"/>
    <col min="8" max="8" width="20.125" hidden="1" customWidth="1"/>
  </cols>
  <sheetData>
    <row r="1" spans="1:14" ht="18" customHeight="1">
      <c r="A1" s="40" t="s">
        <v>43</v>
      </c>
      <c r="B1" s="40" t="s">
        <v>46</v>
      </c>
      <c r="C1" s="182" t="s">
        <v>506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515</v>
      </c>
    </row>
    <row r="2" spans="1:14" ht="18" customHeight="1">
      <c r="A2" s="69" t="s">
        <v>10</v>
      </c>
      <c r="B2" s="69" t="s">
        <v>261</v>
      </c>
      <c r="C2" s="183">
        <v>0.11999999731779099</v>
      </c>
      <c r="D2" s="66">
        <v>0.11999999731779099</v>
      </c>
      <c r="E2" s="66">
        <v>0.12</v>
      </c>
      <c r="F2" s="66">
        <v>0.12</v>
      </c>
      <c r="G2" s="66">
        <v>0.12</v>
      </c>
      <c r="H2" s="183">
        <v>0.12</v>
      </c>
    </row>
    <row r="3" spans="1:14" ht="18" customHeight="1">
      <c r="A3" s="69" t="s">
        <v>14</v>
      </c>
      <c r="B3" s="69" t="s">
        <v>262</v>
      </c>
      <c r="C3" s="183">
        <v>0.75</v>
      </c>
      <c r="D3" s="66">
        <v>0.75</v>
      </c>
      <c r="E3" s="66">
        <v>0.75</v>
      </c>
      <c r="F3" s="66">
        <v>0.75</v>
      </c>
      <c r="G3" s="66">
        <v>0.75</v>
      </c>
      <c r="H3" s="183">
        <v>0.75</v>
      </c>
    </row>
    <row r="4" spans="1:14" ht="18" customHeight="1">
      <c r="A4" s="69" t="s">
        <v>387</v>
      </c>
      <c r="B4" s="69" t="s">
        <v>388</v>
      </c>
      <c r="C4" s="184">
        <v>28</v>
      </c>
      <c r="D4" s="163">
        <v>28</v>
      </c>
      <c r="E4" s="163">
        <v>28</v>
      </c>
      <c r="F4" s="163">
        <v>28</v>
      </c>
      <c r="G4" s="163">
        <v>28</v>
      </c>
      <c r="H4" s="184">
        <v>28</v>
      </c>
    </row>
    <row r="5" spans="1:14" ht="18" customHeight="1">
      <c r="A5" s="67" t="s">
        <v>48</v>
      </c>
      <c r="B5" s="67" t="s">
        <v>51</v>
      </c>
      <c r="C5" s="185">
        <v>0</v>
      </c>
      <c r="D5" s="68">
        <v>0</v>
      </c>
      <c r="E5" s="66">
        <v>1</v>
      </c>
      <c r="F5" s="66">
        <v>1</v>
      </c>
      <c r="G5" s="66">
        <v>1</v>
      </c>
      <c r="H5" s="183">
        <v>1</v>
      </c>
      <c r="J5" s="221"/>
    </row>
    <row r="6" spans="1:14" ht="18" customHeight="1">
      <c r="A6" s="69" t="s">
        <v>177</v>
      </c>
      <c r="B6" s="69" t="s">
        <v>56</v>
      </c>
      <c r="C6" s="183">
        <v>0.60000002384185791</v>
      </c>
      <c r="D6" s="66">
        <v>0.60000002384185791</v>
      </c>
      <c r="E6" s="66">
        <v>0.6</v>
      </c>
      <c r="F6" s="66">
        <v>0.6</v>
      </c>
      <c r="G6" s="66">
        <v>0.6</v>
      </c>
      <c r="H6" s="183">
        <v>0.6</v>
      </c>
    </row>
    <row r="7" spans="1:14" ht="18" customHeight="1">
      <c r="A7" s="69" t="s">
        <v>134</v>
      </c>
      <c r="B7" s="69" t="s">
        <v>135</v>
      </c>
      <c r="C7" s="183">
        <v>5.9999998658895493E-2</v>
      </c>
      <c r="D7" s="66">
        <v>5.9999998658895493E-2</v>
      </c>
      <c r="E7" s="66">
        <v>0.06</v>
      </c>
      <c r="F7" s="66">
        <v>0.06</v>
      </c>
      <c r="G7" s="66">
        <v>0.06</v>
      </c>
      <c r="H7" s="183">
        <v>0.06</v>
      </c>
      <c r="I7" s="235"/>
      <c r="J7" s="235"/>
      <c r="K7" s="235"/>
      <c r="L7" s="235"/>
      <c r="M7" s="235"/>
      <c r="N7" s="235"/>
    </row>
    <row r="8" spans="1:14" ht="18" customHeight="1">
      <c r="A8" s="67" t="s">
        <v>329</v>
      </c>
      <c r="B8" s="69" t="s">
        <v>263</v>
      </c>
      <c r="C8" s="183">
        <v>0.97</v>
      </c>
      <c r="D8" s="66">
        <v>0.97</v>
      </c>
      <c r="E8" s="66">
        <v>0.97</v>
      </c>
      <c r="F8" s="66">
        <v>0.97</v>
      </c>
      <c r="G8" s="66">
        <v>0.97</v>
      </c>
      <c r="H8" s="183">
        <v>0.97</v>
      </c>
      <c r="I8" s="235"/>
      <c r="J8" s="270"/>
      <c r="K8" s="235"/>
      <c r="L8" s="235"/>
      <c r="M8" s="235"/>
      <c r="N8" s="235"/>
    </row>
    <row r="9" spans="1:14" ht="18" customHeight="1">
      <c r="A9" s="63" t="s">
        <v>519</v>
      </c>
      <c r="B9" s="63" t="s">
        <v>264</v>
      </c>
      <c r="C9" s="185">
        <v>350</v>
      </c>
      <c r="D9" s="62">
        <v>350</v>
      </c>
      <c r="E9" s="62">
        <v>350</v>
      </c>
      <c r="F9" s="62">
        <v>350</v>
      </c>
      <c r="G9" s="62">
        <v>350</v>
      </c>
      <c r="H9" s="185">
        <v>350</v>
      </c>
      <c r="I9" s="235"/>
      <c r="J9" s="235"/>
      <c r="K9" s="235"/>
      <c r="L9" s="235"/>
      <c r="M9" s="235"/>
      <c r="N9" s="235"/>
    </row>
    <row r="10" spans="1:14" ht="18" customHeight="1">
      <c r="A10" s="63" t="s">
        <v>424</v>
      </c>
      <c r="B10" s="63" t="s">
        <v>425</v>
      </c>
      <c r="C10" s="185">
        <v>0.05</v>
      </c>
      <c r="D10" s="62">
        <v>0.05</v>
      </c>
      <c r="E10" s="62">
        <v>0.05</v>
      </c>
      <c r="F10" s="62">
        <v>0.05</v>
      </c>
      <c r="G10" s="62">
        <v>0.05</v>
      </c>
      <c r="H10" s="185">
        <v>0.05</v>
      </c>
      <c r="I10" s="235"/>
      <c r="J10" s="242"/>
      <c r="K10" s="235"/>
      <c r="L10" s="235"/>
      <c r="M10" s="235"/>
      <c r="N10" s="235"/>
    </row>
    <row r="11" spans="1:14" ht="18" customHeight="1">
      <c r="A11" s="63" t="s">
        <v>168</v>
      </c>
      <c r="B11" s="63" t="s">
        <v>11</v>
      </c>
      <c r="C11" s="186">
        <v>7.9999998211860657E-2</v>
      </c>
      <c r="D11" s="81">
        <v>7.9999998211860657E-2</v>
      </c>
      <c r="E11" s="62">
        <v>0.08</v>
      </c>
      <c r="F11" s="62">
        <v>0.08</v>
      </c>
      <c r="G11" s="62">
        <v>0.08</v>
      </c>
      <c r="H11" s="186">
        <v>7.9999998211860657E-2</v>
      </c>
      <c r="I11" s="235"/>
      <c r="J11" s="235"/>
      <c r="K11" s="235"/>
      <c r="L11" s="235"/>
      <c r="M11" s="235"/>
      <c r="N11" s="235"/>
    </row>
    <row r="12" spans="1:14" ht="18" customHeight="1">
      <c r="A12" s="63" t="s">
        <v>169</v>
      </c>
      <c r="B12" s="63" t="s">
        <v>1</v>
      </c>
      <c r="C12" s="187">
        <v>5.9999998658895493E-2</v>
      </c>
      <c r="D12" s="82">
        <v>5.9999998658895493E-2</v>
      </c>
      <c r="E12" s="64">
        <v>0.06</v>
      </c>
      <c r="F12" s="64">
        <v>0.06</v>
      </c>
      <c r="G12" s="64">
        <v>0.06</v>
      </c>
      <c r="H12" s="187">
        <v>5.9999998658895493E-2</v>
      </c>
      <c r="I12" s="235"/>
      <c r="J12" s="235"/>
      <c r="K12" s="235"/>
      <c r="L12" s="235"/>
      <c r="M12" s="235"/>
      <c r="N12" s="235"/>
    </row>
    <row r="13" spans="1:14" ht="18" customHeight="1">
      <c r="A13" s="63" t="s">
        <v>50</v>
      </c>
      <c r="B13" s="63" t="s">
        <v>265</v>
      </c>
      <c r="C13" s="188">
        <v>1000</v>
      </c>
      <c r="D13" s="64">
        <v>1000</v>
      </c>
      <c r="E13" s="64">
        <v>1000</v>
      </c>
      <c r="F13" s="64">
        <v>1000</v>
      </c>
      <c r="G13" s="64">
        <v>1000</v>
      </c>
      <c r="H13" s="188">
        <v>1000</v>
      </c>
      <c r="I13" s="235"/>
      <c r="J13" s="235"/>
      <c r="K13" s="235"/>
      <c r="L13" s="235"/>
      <c r="M13" s="235"/>
      <c r="N13" s="235"/>
    </row>
    <row r="14" spans="1:14" ht="18" customHeight="1">
      <c r="A14" s="63" t="s">
        <v>165</v>
      </c>
      <c r="B14" s="63" t="s">
        <v>17</v>
      </c>
      <c r="C14" s="185">
        <v>4.5</v>
      </c>
      <c r="D14" s="62">
        <v>4.5</v>
      </c>
      <c r="E14" s="62">
        <v>4.5</v>
      </c>
      <c r="F14" s="62">
        <v>4.5</v>
      </c>
      <c r="G14" s="62">
        <v>4.5</v>
      </c>
      <c r="H14" s="185">
        <v>4.5</v>
      </c>
      <c r="I14" s="235"/>
      <c r="J14" s="235"/>
      <c r="K14" s="235"/>
      <c r="L14" s="235"/>
      <c r="M14" s="235"/>
      <c r="N14" s="235"/>
    </row>
    <row r="15" spans="1:14" ht="18" customHeight="1">
      <c r="A15" s="58" t="s">
        <v>520</v>
      </c>
      <c r="B15" s="58" t="s">
        <v>264</v>
      </c>
      <c r="C15" s="189">
        <v>180.30000305175781</v>
      </c>
      <c r="D15" s="84">
        <v>180.30000305175781</v>
      </c>
      <c r="E15" s="59">
        <v>180.3</v>
      </c>
      <c r="F15" s="59">
        <v>180.3</v>
      </c>
      <c r="G15" s="59">
        <v>180.3</v>
      </c>
      <c r="H15" s="189">
        <v>180.30000305175781</v>
      </c>
    </row>
    <row r="16" spans="1:14" ht="18" customHeight="1">
      <c r="A16" s="58" t="s">
        <v>170</v>
      </c>
      <c r="B16" s="58" t="s">
        <v>12</v>
      </c>
      <c r="C16" s="189">
        <v>0.90299999713897705</v>
      </c>
      <c r="D16" s="84">
        <v>0.90299999713897705</v>
      </c>
      <c r="E16" s="84">
        <v>0.90299999713897705</v>
      </c>
      <c r="F16" s="84">
        <v>0.90299999713897705</v>
      </c>
      <c r="G16" s="84">
        <v>0.90299999713897705</v>
      </c>
      <c r="H16" s="189">
        <v>0.90299999713897705</v>
      </c>
    </row>
    <row r="17" spans="1:8" ht="18" customHeight="1">
      <c r="A17" s="58" t="s">
        <v>171</v>
      </c>
      <c r="B17" s="58" t="s">
        <v>0</v>
      </c>
      <c r="C17" s="190">
        <v>0.8410000205039978</v>
      </c>
      <c r="D17" s="85">
        <v>0.8410000205039978</v>
      </c>
      <c r="E17" s="85">
        <v>0.8410000205039978</v>
      </c>
      <c r="F17" s="85">
        <v>0.8410000205039978</v>
      </c>
      <c r="G17" s="85">
        <v>0.8410000205039978</v>
      </c>
      <c r="H17" s="190">
        <v>0.8410000205039978</v>
      </c>
    </row>
    <row r="18" spans="1:8" ht="18" customHeight="1">
      <c r="A18" s="58" t="s">
        <v>60</v>
      </c>
      <c r="B18" s="58" t="s">
        <v>265</v>
      </c>
      <c r="C18" s="188">
        <v>50</v>
      </c>
      <c r="D18" s="60">
        <v>50</v>
      </c>
      <c r="E18" s="60">
        <v>50</v>
      </c>
      <c r="F18" s="60">
        <v>50</v>
      </c>
      <c r="G18" s="60">
        <v>50</v>
      </c>
      <c r="H18" s="188">
        <v>50</v>
      </c>
    </row>
    <row r="19" spans="1:8" ht="18" customHeight="1">
      <c r="A19" s="58" t="s">
        <v>172</v>
      </c>
      <c r="B19" s="58" t="s">
        <v>268</v>
      </c>
      <c r="C19" s="61">
        <v>51</v>
      </c>
      <c r="D19" s="61">
        <v>51</v>
      </c>
      <c r="E19" s="61">
        <v>51</v>
      </c>
      <c r="F19" s="61">
        <v>51</v>
      </c>
      <c r="G19" s="61">
        <v>51</v>
      </c>
      <c r="H19" s="191">
        <v>51</v>
      </c>
    </row>
    <row r="20" spans="1:8" ht="18" customHeight="1">
      <c r="A20" s="70" t="s">
        <v>13</v>
      </c>
      <c r="B20" s="70" t="s">
        <v>80</v>
      </c>
      <c r="C20" s="185">
        <v>4800</v>
      </c>
      <c r="D20" s="71">
        <v>4800</v>
      </c>
      <c r="E20" s="71">
        <v>4800</v>
      </c>
      <c r="F20" s="71">
        <v>4800</v>
      </c>
      <c r="G20" s="71">
        <v>4800</v>
      </c>
      <c r="H20" s="185">
        <v>4800</v>
      </c>
    </row>
    <row r="21" spans="1:8" ht="18" customHeight="1">
      <c r="A21" s="70" t="s">
        <v>164</v>
      </c>
      <c r="B21" s="70" t="s">
        <v>167</v>
      </c>
      <c r="C21" s="185">
        <v>1</v>
      </c>
      <c r="D21" s="71">
        <v>1</v>
      </c>
      <c r="E21" s="71">
        <v>1</v>
      </c>
      <c r="F21" s="71">
        <v>1</v>
      </c>
      <c r="G21" s="71">
        <v>5</v>
      </c>
      <c r="H21" s="185">
        <v>5</v>
      </c>
    </row>
    <row r="22" spans="1:8" ht="18" customHeight="1">
      <c r="A22" s="78" t="s">
        <v>143</v>
      </c>
      <c r="B22" s="70" t="s">
        <v>167</v>
      </c>
      <c r="C22" s="188">
        <v>1</v>
      </c>
      <c r="D22" s="72">
        <v>1</v>
      </c>
      <c r="E22" s="72">
        <v>1</v>
      </c>
      <c r="F22" s="72">
        <v>5</v>
      </c>
      <c r="G22" s="72">
        <v>1</v>
      </c>
      <c r="H22" s="188">
        <v>1</v>
      </c>
    </row>
    <row r="23" spans="1:8" ht="18" customHeight="1">
      <c r="A23" s="78" t="s">
        <v>21</v>
      </c>
      <c r="B23" s="70" t="s">
        <v>2</v>
      </c>
      <c r="C23" s="185">
        <v>340</v>
      </c>
      <c r="D23" s="71">
        <v>340</v>
      </c>
      <c r="E23" s="71">
        <v>340</v>
      </c>
      <c r="F23" s="71">
        <v>340</v>
      </c>
      <c r="G23" s="71">
        <v>340</v>
      </c>
      <c r="H23" s="185">
        <v>340</v>
      </c>
    </row>
    <row r="24" spans="1:8" ht="18" customHeight="1">
      <c r="A24" s="78" t="s">
        <v>70</v>
      </c>
      <c r="B24" s="70" t="s">
        <v>73</v>
      </c>
      <c r="C24" s="183">
        <v>7.0000000298023224E-2</v>
      </c>
      <c r="D24" s="73">
        <v>7.0000000298023224E-2</v>
      </c>
      <c r="E24" s="73">
        <v>7.0000000000000007E-2</v>
      </c>
      <c r="F24" s="73">
        <v>7.0000000000000007E-2</v>
      </c>
      <c r="G24" s="73">
        <v>7.0000000000000007E-2</v>
      </c>
      <c r="H24" s="183">
        <v>7.0000000298023224E-2</v>
      </c>
    </row>
    <row r="25" spans="1:8" ht="18" customHeight="1">
      <c r="A25" s="78" t="s">
        <v>71</v>
      </c>
      <c r="B25" s="70" t="s">
        <v>72</v>
      </c>
      <c r="C25" s="185">
        <v>15</v>
      </c>
      <c r="D25" s="71">
        <v>15</v>
      </c>
      <c r="E25" s="71">
        <v>15</v>
      </c>
      <c r="F25" s="71">
        <v>15</v>
      </c>
      <c r="G25" s="71">
        <v>15</v>
      </c>
      <c r="H25" s="185">
        <v>15</v>
      </c>
    </row>
    <row r="26" spans="1:8" ht="18" customHeight="1">
      <c r="A26" s="67" t="s">
        <v>65</v>
      </c>
      <c r="B26" s="69" t="s">
        <v>62</v>
      </c>
      <c r="C26" s="185">
        <v>500</v>
      </c>
      <c r="D26" s="68">
        <v>500</v>
      </c>
      <c r="E26" s="68">
        <v>500</v>
      </c>
      <c r="F26" s="68">
        <v>0</v>
      </c>
      <c r="G26" s="68">
        <v>0</v>
      </c>
      <c r="H26" s="185">
        <v>0</v>
      </c>
    </row>
    <row r="27" spans="1:8" ht="18" customHeight="1">
      <c r="A27" s="67" t="s">
        <v>287</v>
      </c>
      <c r="B27" s="69" t="s">
        <v>102</v>
      </c>
      <c r="C27" s="185">
        <v>0</v>
      </c>
      <c r="D27" s="68">
        <v>0</v>
      </c>
      <c r="E27" s="68">
        <v>0</v>
      </c>
      <c r="F27" s="68">
        <v>0</v>
      </c>
      <c r="G27" s="68">
        <v>2.5</v>
      </c>
      <c r="H27" s="185">
        <v>2.5</v>
      </c>
    </row>
    <row r="28" spans="1:8" ht="18" customHeight="1">
      <c r="A28" s="67" t="s">
        <v>101</v>
      </c>
      <c r="B28" s="69" t="s">
        <v>102</v>
      </c>
      <c r="C28" s="187">
        <v>0</v>
      </c>
      <c r="D28" s="74">
        <v>0</v>
      </c>
      <c r="E28" s="74">
        <v>0</v>
      </c>
      <c r="F28" s="74">
        <v>2.5</v>
      </c>
      <c r="G28" s="74">
        <v>0</v>
      </c>
      <c r="H28" s="187">
        <v>0</v>
      </c>
    </row>
    <row r="29" spans="1:8" ht="18" customHeight="1">
      <c r="A29" s="79" t="s">
        <v>89</v>
      </c>
      <c r="B29" s="63" t="s">
        <v>288</v>
      </c>
      <c r="C29" s="192">
        <v>5</v>
      </c>
      <c r="D29" s="65">
        <v>5</v>
      </c>
      <c r="E29" s="65">
        <v>5</v>
      </c>
      <c r="F29" s="65">
        <v>5</v>
      </c>
      <c r="G29" s="65">
        <v>5</v>
      </c>
      <c r="H29" s="192">
        <v>5</v>
      </c>
    </row>
    <row r="30" spans="1:8" ht="18" customHeight="1">
      <c r="A30" s="79" t="s">
        <v>426</v>
      </c>
      <c r="B30" s="63" t="s">
        <v>427</v>
      </c>
      <c r="C30" s="192">
        <v>0.45</v>
      </c>
      <c r="D30" s="65">
        <v>0.48049999999999998</v>
      </c>
      <c r="E30" s="65">
        <v>0.48049999999999998</v>
      </c>
      <c r="F30" s="65">
        <v>0.48049999999999998</v>
      </c>
      <c r="G30" s="65">
        <v>0.48049999999999998</v>
      </c>
      <c r="H30" s="192">
        <v>0.45</v>
      </c>
    </row>
    <row r="31" spans="1:8" ht="18" customHeight="1">
      <c r="A31" s="79" t="s">
        <v>198</v>
      </c>
      <c r="B31" s="63" t="s">
        <v>289</v>
      </c>
      <c r="C31" s="192">
        <v>1.92</v>
      </c>
      <c r="D31" s="65">
        <v>1.92</v>
      </c>
      <c r="E31" s="65">
        <v>1.92</v>
      </c>
      <c r="F31" s="65">
        <v>1.92</v>
      </c>
      <c r="G31" s="65">
        <v>1.92</v>
      </c>
      <c r="H31" s="192">
        <v>1.92</v>
      </c>
    </row>
    <row r="32" spans="1:8" ht="18" customHeight="1">
      <c r="A32" s="79" t="s">
        <v>396</v>
      </c>
      <c r="B32" s="63" t="s">
        <v>399</v>
      </c>
      <c r="C32" s="192">
        <v>136.25</v>
      </c>
      <c r="D32" s="65">
        <v>136.25</v>
      </c>
      <c r="E32" s="65">
        <v>136.25</v>
      </c>
      <c r="F32" s="65">
        <v>136.25</v>
      </c>
      <c r="G32" s="65">
        <v>136.25</v>
      </c>
      <c r="H32" s="192">
        <v>136.25</v>
      </c>
    </row>
    <row r="33" spans="1:10" ht="18" customHeight="1">
      <c r="A33" s="79" t="s">
        <v>397</v>
      </c>
      <c r="B33" s="63" t="s">
        <v>400</v>
      </c>
      <c r="C33" s="187">
        <v>-100</v>
      </c>
      <c r="D33" s="82">
        <v>-100</v>
      </c>
      <c r="E33" s="82">
        <v>-100</v>
      </c>
      <c r="F33" s="82">
        <v>-100</v>
      </c>
      <c r="G33" s="82">
        <v>-100</v>
      </c>
      <c r="H33" s="187">
        <v>-100</v>
      </c>
    </row>
    <row r="34" spans="1:10" ht="18" customHeight="1">
      <c r="A34" s="79" t="s">
        <v>398</v>
      </c>
      <c r="B34" s="63"/>
      <c r="C34" s="187">
        <v>14</v>
      </c>
      <c r="D34" s="82">
        <v>14</v>
      </c>
      <c r="E34" s="82">
        <v>14</v>
      </c>
      <c r="F34" s="82">
        <v>14</v>
      </c>
      <c r="G34" s="82">
        <v>14</v>
      </c>
      <c r="H34" s="187">
        <v>14</v>
      </c>
    </row>
    <row r="35" spans="1:10" ht="18" customHeight="1">
      <c r="A35" s="80" t="s">
        <v>152</v>
      </c>
      <c r="B35" s="58" t="s">
        <v>267</v>
      </c>
      <c r="C35" s="193">
        <v>1.2350000143051147</v>
      </c>
      <c r="D35" s="83">
        <v>1.2350000143051147</v>
      </c>
      <c r="E35" s="60">
        <v>1.2350000000000001</v>
      </c>
      <c r="F35" s="60">
        <v>1.2350000000000001</v>
      </c>
      <c r="G35" s="60">
        <v>1.2350000000000001</v>
      </c>
      <c r="H35" s="193">
        <v>1.2350000143051147</v>
      </c>
      <c r="J35" s="34"/>
    </row>
    <row r="36" spans="1:10" ht="18" customHeight="1">
      <c r="A36" s="80" t="s">
        <v>153</v>
      </c>
      <c r="B36" s="58" t="s">
        <v>97</v>
      </c>
      <c r="C36" s="192">
        <v>6.8400000000000002E-2</v>
      </c>
      <c r="D36" s="75">
        <v>6.8400000000000002E-2</v>
      </c>
      <c r="E36" s="75">
        <v>6.8400000000000002E-2</v>
      </c>
      <c r="F36" s="75">
        <v>6.8400000000000002E-2</v>
      </c>
      <c r="G36" s="75">
        <v>6.8400000000000002E-2</v>
      </c>
      <c r="H36" s="192">
        <v>6.8400000000000002E-2</v>
      </c>
    </row>
    <row r="37" spans="1:10" ht="18" customHeight="1">
      <c r="A37" s="78" t="s">
        <v>166</v>
      </c>
      <c r="B37" s="70" t="s">
        <v>266</v>
      </c>
      <c r="C37" s="192">
        <v>3.91</v>
      </c>
      <c r="D37" s="76">
        <v>3.91</v>
      </c>
      <c r="E37" s="76">
        <v>3.91</v>
      </c>
      <c r="F37" s="76">
        <v>3.91</v>
      </c>
      <c r="G37" s="76">
        <v>3.91</v>
      </c>
      <c r="H37" s="192">
        <v>3.91</v>
      </c>
    </row>
    <row r="38" spans="1:10">
      <c r="A38" s="78" t="s">
        <v>291</v>
      </c>
      <c r="B38" s="70" t="s">
        <v>194</v>
      </c>
      <c r="C38" s="187">
        <v>150</v>
      </c>
      <c r="D38" s="117">
        <v>150</v>
      </c>
      <c r="E38" s="117">
        <v>150</v>
      </c>
      <c r="F38" s="117">
        <v>150</v>
      </c>
      <c r="G38" s="117">
        <v>150</v>
      </c>
      <c r="H38" s="187">
        <v>150</v>
      </c>
    </row>
    <row r="39" spans="1:10">
      <c r="A39" s="118" t="s">
        <v>290</v>
      </c>
      <c r="B39" s="116" t="s">
        <v>309</v>
      </c>
      <c r="C39" s="187">
        <f t="shared" ref="C39" si="0">C38/lbperkg*acperha</f>
        <v>168.12761382914061</v>
      </c>
      <c r="D39" s="119">
        <f t="shared" ref="D39:F39" si="1">D38/lbperkg*acperha</f>
        <v>168.12761382914061</v>
      </c>
      <c r="E39" s="119">
        <f t="shared" si="1"/>
        <v>168.12761382914061</v>
      </c>
      <c r="F39" s="119">
        <f t="shared" si="1"/>
        <v>168.12761382914061</v>
      </c>
      <c r="G39" s="119">
        <f t="shared" ref="G39" si="2">G38/lbperkg*acperha</f>
        <v>168.12761382914061</v>
      </c>
      <c r="H39" s="187">
        <v>168.12761382914061</v>
      </c>
    </row>
    <row r="40" spans="1:10">
      <c r="A40" s="78" t="s">
        <v>201</v>
      </c>
      <c r="B40" s="70" t="s">
        <v>542</v>
      </c>
      <c r="C40" s="117">
        <v>3</v>
      </c>
      <c r="D40" s="117">
        <v>3</v>
      </c>
      <c r="E40" s="117">
        <v>3</v>
      </c>
      <c r="F40" s="117">
        <v>3</v>
      </c>
      <c r="G40" s="117">
        <v>3</v>
      </c>
      <c r="H40" s="117">
        <v>3</v>
      </c>
    </row>
    <row r="41" spans="1:10">
      <c r="A41" s="78" t="s">
        <v>201</v>
      </c>
      <c r="B41" s="70" t="s">
        <v>286</v>
      </c>
      <c r="C41" s="117">
        <f t="shared" ref="C41:H41" si="3">C40*lbsperton/lbperkg/kilo</f>
        <v>2.7215574566138385</v>
      </c>
      <c r="D41" s="117">
        <f t="shared" si="3"/>
        <v>2.7215574566138385</v>
      </c>
      <c r="E41" s="117">
        <f t="shared" si="3"/>
        <v>2.7215574566138385</v>
      </c>
      <c r="F41" s="117">
        <f t="shared" si="3"/>
        <v>2.7215574566138385</v>
      </c>
      <c r="G41" s="117">
        <f t="shared" si="3"/>
        <v>2.7215574566138385</v>
      </c>
      <c r="H41" s="117">
        <f t="shared" si="3"/>
        <v>2.7215574566138385</v>
      </c>
    </row>
    <row r="42" spans="1:10">
      <c r="A42" s="78" t="s">
        <v>201</v>
      </c>
      <c r="B42" s="70" t="s">
        <v>314</v>
      </c>
      <c r="C42" s="234">
        <f t="shared" ref="C42:H42" si="4">C41*acperha</f>
        <v>6.7251045531656253</v>
      </c>
      <c r="D42" s="234">
        <f t="shared" si="4"/>
        <v>6.7251045531656253</v>
      </c>
      <c r="E42" s="234">
        <f t="shared" si="4"/>
        <v>6.7251045531656253</v>
      </c>
      <c r="F42" s="234">
        <f t="shared" si="4"/>
        <v>6.7251045531656253</v>
      </c>
      <c r="G42" s="234">
        <f t="shared" si="4"/>
        <v>6.7251045531656253</v>
      </c>
      <c r="H42" s="234">
        <f t="shared" si="4"/>
        <v>6.7251045531656253</v>
      </c>
    </row>
  </sheetData>
  <phoneticPr fontId="9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57"/>
  <sheetViews>
    <sheetView zoomScale="70" zoomScaleNormal="7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J27" sqref="J27"/>
    </sheetView>
  </sheetViews>
  <sheetFormatPr defaultColWidth="11" defaultRowHeight="15.75"/>
  <cols>
    <col min="1" max="1" width="49.375" bestFit="1" customWidth="1"/>
    <col min="2" max="2" width="37.375" customWidth="1"/>
    <col min="3" max="3" width="37.375" hidden="1" customWidth="1"/>
    <col min="4" max="4" width="25.125" style="17" customWidth="1"/>
    <col min="5" max="5" width="23.25" style="17" customWidth="1"/>
    <col min="6" max="6" width="22.125" customWidth="1"/>
    <col min="7" max="7" width="22.25" customWidth="1"/>
    <col min="8" max="8" width="14.25" hidden="1" customWidth="1"/>
    <col min="9" max="9" width="25.875" bestFit="1" customWidth="1"/>
    <col min="10" max="13" width="27.625" customWidth="1"/>
    <col min="14" max="15" width="13" bestFit="1" customWidth="1"/>
  </cols>
  <sheetData>
    <row r="1" spans="1:8" ht="18" customHeight="1">
      <c r="A1" s="36" t="s">
        <v>47</v>
      </c>
      <c r="B1" s="36" t="s">
        <v>3</v>
      </c>
      <c r="C1" s="182" t="s">
        <v>518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517</v>
      </c>
    </row>
    <row r="2" spans="1:8" ht="18" customHeight="1">
      <c r="A2" s="6" t="s">
        <v>139</v>
      </c>
      <c r="B2" t="s">
        <v>274</v>
      </c>
      <c r="C2" s="194">
        <f>Inputs!C9/kilo</f>
        <v>0.35</v>
      </c>
      <c r="D2" s="28">
        <f>Inputs!D9/kilo</f>
        <v>0.35</v>
      </c>
      <c r="E2" s="28">
        <f>Inputs!E9/kilo</f>
        <v>0.35</v>
      </c>
      <c r="F2" s="28">
        <f>Inputs!F9/kilo</f>
        <v>0.35</v>
      </c>
      <c r="G2" s="28">
        <f>Inputs!G9/kilo</f>
        <v>0.35</v>
      </c>
      <c r="H2" s="28">
        <f>Inputs!H9/kilo</f>
        <v>0.35</v>
      </c>
    </row>
    <row r="3" spans="1:8" ht="18" customHeight="1">
      <c r="A3" s="6" t="s">
        <v>140</v>
      </c>
      <c r="B3" t="s">
        <v>274</v>
      </c>
      <c r="C3" s="194">
        <f>Inputs!C15/kilo</f>
        <v>0.18030000305175781</v>
      </c>
      <c r="D3" s="28">
        <f>Inputs!D15/kilo</f>
        <v>0.18030000305175781</v>
      </c>
      <c r="E3" s="28">
        <f>Inputs!E15/kilo</f>
        <v>0.18030000000000002</v>
      </c>
      <c r="F3" s="28">
        <f>Inputs!F15/kilo</f>
        <v>0.18030000000000002</v>
      </c>
      <c r="G3" s="28">
        <f>Inputs!G15/kilo</f>
        <v>0.18030000000000002</v>
      </c>
      <c r="H3" s="28">
        <f>Inputs!H15/kilo</f>
        <v>0.18030000305175781</v>
      </c>
    </row>
    <row r="4" spans="1:8" ht="18" customHeight="1">
      <c r="A4" t="s">
        <v>52</v>
      </c>
      <c r="B4" t="s">
        <v>275</v>
      </c>
      <c r="C4" s="195">
        <f>(Inputs!C20*Inputs!C14*Inputs!C21)/literperm3</f>
        <v>21.6</v>
      </c>
      <c r="D4" s="14">
        <f>(Inputs!D20*Inputs!D14*Inputs!D21)/literperm3</f>
        <v>21.6</v>
      </c>
      <c r="E4" s="14">
        <f>(Inputs!E20*Inputs!E14*Inputs!E21)/literperm3</f>
        <v>21.6</v>
      </c>
      <c r="F4" s="14">
        <f>(Inputs!F20*Inputs!F14*Inputs!F21)/literperm3</f>
        <v>21.6</v>
      </c>
      <c r="G4" s="14">
        <f>(Inputs!G20*Inputs!G14*Inputs!G21)/literperm3</f>
        <v>108</v>
      </c>
      <c r="H4" s="14">
        <f>(Inputs!H20*Inputs!H14*Inputs!H21)/literperm3</f>
        <v>108</v>
      </c>
    </row>
    <row r="5" spans="1:8" ht="18" customHeight="1">
      <c r="A5" t="s">
        <v>419</v>
      </c>
      <c r="B5" t="s">
        <v>420</v>
      </c>
      <c r="C5" s="195">
        <f>C4*Inputs!C23</f>
        <v>7344.0000000000009</v>
      </c>
      <c r="D5" s="14">
        <f>D4*Inputs!D23</f>
        <v>7344.0000000000009</v>
      </c>
      <c r="E5" s="14">
        <f>E4*Inputs!E23</f>
        <v>7344.0000000000009</v>
      </c>
      <c r="F5" s="14">
        <f>F4*Inputs!F23</f>
        <v>7344.0000000000009</v>
      </c>
      <c r="G5" s="14">
        <f>G4*Inputs!G23</f>
        <v>36720</v>
      </c>
      <c r="H5" s="14">
        <f>H4*Inputs!H23</f>
        <v>36720</v>
      </c>
    </row>
    <row r="6" spans="1:8" ht="18" customHeight="1">
      <c r="A6" t="s">
        <v>52</v>
      </c>
      <c r="B6" t="s">
        <v>53</v>
      </c>
      <c r="C6" s="195">
        <f>C4*Inputs!C13</f>
        <v>21600</v>
      </c>
      <c r="D6" s="14">
        <f>D4*Inputs!D13</f>
        <v>21600</v>
      </c>
      <c r="E6" s="14">
        <f>E4*Inputs!E13</f>
        <v>21600</v>
      </c>
      <c r="F6" s="14">
        <f>F4*Inputs!F13</f>
        <v>21600</v>
      </c>
      <c r="G6" s="14">
        <f>G4*Inputs!G13</f>
        <v>108000</v>
      </c>
      <c r="H6" s="14">
        <f>H4*Inputs!H13</f>
        <v>108000</v>
      </c>
    </row>
    <row r="7" spans="1:8" ht="18" customHeight="1">
      <c r="A7" t="s">
        <v>52</v>
      </c>
      <c r="B7" t="s">
        <v>412</v>
      </c>
      <c r="C7" s="195">
        <f t="shared" ref="C7:G7" si="0">C6/kilo</f>
        <v>21.6</v>
      </c>
      <c r="D7" s="14">
        <f t="shared" si="0"/>
        <v>21.6</v>
      </c>
      <c r="E7" s="14">
        <f t="shared" si="0"/>
        <v>21.6</v>
      </c>
      <c r="F7" s="14">
        <f t="shared" si="0"/>
        <v>21.6</v>
      </c>
      <c r="G7" s="14">
        <f t="shared" si="0"/>
        <v>108</v>
      </c>
      <c r="H7" s="14">
        <f t="shared" ref="H7" si="1">H6/kilo</f>
        <v>108</v>
      </c>
    </row>
    <row r="8" spans="1:8" ht="18" customHeight="1">
      <c r="A8" t="s">
        <v>421</v>
      </c>
      <c r="B8" t="s">
        <v>422</v>
      </c>
      <c r="C8" s="195">
        <f>C7*Inputs!C23</f>
        <v>7344.0000000000009</v>
      </c>
      <c r="D8" s="14">
        <f>D7*Inputs!D23</f>
        <v>7344.0000000000009</v>
      </c>
      <c r="E8" s="14">
        <f>E7*Inputs!E23</f>
        <v>7344.0000000000009</v>
      </c>
      <c r="F8" s="14">
        <f>F7*Inputs!F23</f>
        <v>7344.0000000000009</v>
      </c>
      <c r="G8" s="14">
        <f>G7*Inputs!G23</f>
        <v>36720</v>
      </c>
      <c r="H8" s="14">
        <f>H7*Inputs!H23</f>
        <v>36720</v>
      </c>
    </row>
    <row r="9" spans="1:8" ht="18" customHeight="1">
      <c r="A9" t="s">
        <v>430</v>
      </c>
      <c r="B9" t="s">
        <v>282</v>
      </c>
      <c r="C9" s="195">
        <f>(C8*kilo)/Inputs!C13</f>
        <v>7344.0000000000009</v>
      </c>
      <c r="D9" s="14">
        <f>(D8*kilo)/Inputs!D13</f>
        <v>7344.0000000000009</v>
      </c>
      <c r="E9" s="14">
        <f>(E8*kilo)/Inputs!E13</f>
        <v>7344.0000000000009</v>
      </c>
      <c r="F9" s="14">
        <f>(F8*kilo)/Inputs!F13</f>
        <v>7344.0000000000009</v>
      </c>
      <c r="G9" s="14">
        <f>(G8*kilo)/Inputs!G13</f>
        <v>36720</v>
      </c>
      <c r="H9" s="14">
        <f>(H8*kilo)/Inputs!H13</f>
        <v>36720</v>
      </c>
    </row>
    <row r="10" spans="1:8" ht="18" customHeight="1">
      <c r="A10" t="s">
        <v>429</v>
      </c>
      <c r="B10" t="s">
        <v>193</v>
      </c>
      <c r="C10" s="195">
        <f t="shared" ref="C10:G10" si="2">C9*literperm3/literpgal</f>
        <v>1940080.4668450712</v>
      </c>
      <c r="D10" s="14">
        <f t="shared" si="2"/>
        <v>1940080.4668450712</v>
      </c>
      <c r="E10" s="14">
        <f t="shared" si="2"/>
        <v>1940080.4668450712</v>
      </c>
      <c r="F10" s="14">
        <f t="shared" si="2"/>
        <v>1940080.4668450712</v>
      </c>
      <c r="G10" s="14">
        <f t="shared" si="2"/>
        <v>9700402.3342253547</v>
      </c>
      <c r="H10" s="14">
        <f t="shared" ref="H10" si="3">H9*literperm3/literpgal</f>
        <v>9700402.3342253547</v>
      </c>
    </row>
    <row r="11" spans="1:8" ht="18" customHeight="1">
      <c r="A11" t="s">
        <v>26</v>
      </c>
      <c r="B11" t="s">
        <v>94</v>
      </c>
      <c r="C11" s="195">
        <f>C6*Inputs!C11</f>
        <v>1727.9999613761902</v>
      </c>
      <c r="D11" s="14">
        <f>D6*Inputs!D11</f>
        <v>1727.9999613761902</v>
      </c>
      <c r="E11" s="14">
        <f>E6*Inputs!E11</f>
        <v>1728</v>
      </c>
      <c r="F11" s="14">
        <f>F6*Inputs!F11</f>
        <v>1728</v>
      </c>
      <c r="G11" s="14">
        <f>G6*Inputs!G11</f>
        <v>8640</v>
      </c>
      <c r="H11" s="14">
        <f>H6*Inputs!H11</f>
        <v>8639.9998068809509</v>
      </c>
    </row>
    <row r="12" spans="1:8" ht="18" customHeight="1">
      <c r="A12" t="s">
        <v>15</v>
      </c>
      <c r="B12" t="s">
        <v>95</v>
      </c>
      <c r="C12" s="195">
        <f>C6*Inputs!C12</f>
        <v>1295.9999710321426</v>
      </c>
      <c r="D12" s="14">
        <f>D6*Inputs!D12</f>
        <v>1295.9999710321426</v>
      </c>
      <c r="E12" s="14">
        <f>E6*Inputs!E12</f>
        <v>1296</v>
      </c>
      <c r="F12" s="14">
        <f>F6*Inputs!F12</f>
        <v>1296</v>
      </c>
      <c r="G12" s="14">
        <f>G6*Inputs!G12</f>
        <v>6480</v>
      </c>
      <c r="H12" s="14">
        <f>H6*Inputs!H12</f>
        <v>6479.9998551607132</v>
      </c>
    </row>
    <row r="13" spans="1:8" ht="18" customHeight="1">
      <c r="A13" t="s">
        <v>49</v>
      </c>
      <c r="B13" t="s">
        <v>304</v>
      </c>
      <c r="C13" s="220">
        <f>Inputs!C5*Intermediates!C4</f>
        <v>0</v>
      </c>
      <c r="D13" s="14">
        <f>Inputs!D5*Intermediates!D4</f>
        <v>0</v>
      </c>
      <c r="E13" s="14">
        <f>Inputs!E5*Intermediates!E4</f>
        <v>21.6</v>
      </c>
      <c r="F13" s="14">
        <f>Inputs!F5*Intermediates!F4</f>
        <v>21.6</v>
      </c>
      <c r="G13" s="14">
        <f>Inputs!G5*Intermediates!G4</f>
        <v>108</v>
      </c>
      <c r="H13" s="14">
        <f>Inputs!H5*Intermediates!H4</f>
        <v>108</v>
      </c>
    </row>
    <row r="14" spans="1:8" ht="18" customHeight="1">
      <c r="A14" t="s">
        <v>16</v>
      </c>
      <c r="B14" t="s">
        <v>42</v>
      </c>
      <c r="C14" s="195">
        <f>C13*'Unit Conversions'!$B$22</f>
        <v>0</v>
      </c>
      <c r="D14" s="14">
        <f>D13*'Unit Conversions'!$B$22</f>
        <v>0</v>
      </c>
      <c r="E14" s="14">
        <f>E13*'Unit Conversions'!$B$22</f>
        <v>21600</v>
      </c>
      <c r="F14" s="14">
        <f>F13*'Unit Conversions'!$B$22</f>
        <v>21600</v>
      </c>
      <c r="G14" s="14">
        <f>G13*'Unit Conversions'!$B$22</f>
        <v>108000</v>
      </c>
      <c r="H14" s="14">
        <v>0</v>
      </c>
    </row>
    <row r="15" spans="1:8" ht="18" customHeight="1">
      <c r="A15" t="s">
        <v>18</v>
      </c>
      <c r="B15" t="s">
        <v>295</v>
      </c>
      <c r="C15" s="194">
        <f>Inputs!C2</f>
        <v>0.11999999731779099</v>
      </c>
      <c r="D15" s="28">
        <f>Inputs!D2</f>
        <v>0.11999999731779099</v>
      </c>
      <c r="E15" s="28">
        <f>Inputs!E2</f>
        <v>0.12</v>
      </c>
      <c r="F15" s="28">
        <f>Inputs!F2</f>
        <v>0.12</v>
      </c>
      <c r="G15" s="28">
        <f>Inputs!G2</f>
        <v>0.12</v>
      </c>
      <c r="H15" s="28">
        <f>Inputs!H2</f>
        <v>0.12</v>
      </c>
    </row>
    <row r="16" spans="1:8" ht="18" customHeight="1">
      <c r="A16" t="s">
        <v>27</v>
      </c>
      <c r="B16" t="s">
        <v>19</v>
      </c>
      <c r="C16" s="195">
        <v>0</v>
      </c>
      <c r="D16" s="14">
        <f>(((D15*D6)-D11)+(D15*D14))/(Inputs!D16-Intermediates!D15)</f>
        <v>1103.4482514500728</v>
      </c>
      <c r="E16" s="14">
        <f>(((E15*E6)-E11)+(E15*E14))/(Inputs!E16-Intermediates!E15)</f>
        <v>4413.7931195759429</v>
      </c>
      <c r="F16" s="14">
        <f>(((F15*F6)-F11)+(F15*F14))/(Inputs!F16-Intermediates!F15)</f>
        <v>4413.7931195759429</v>
      </c>
      <c r="G16" s="14">
        <f>(((G15*G6)-G11)+(G15*G14))/(Inputs!G16-Intermediates!G15)</f>
        <v>22068.965597879716</v>
      </c>
      <c r="H16" s="14">
        <v>0</v>
      </c>
    </row>
    <row r="17" spans="1:9" ht="18" customHeight="1">
      <c r="A17" t="s">
        <v>27</v>
      </c>
      <c r="B17" t="s">
        <v>276</v>
      </c>
      <c r="C17" s="220">
        <f>C16/Inputs!C18</f>
        <v>0</v>
      </c>
      <c r="D17" s="14">
        <f>D16/Inputs!D18</f>
        <v>22.068965029001458</v>
      </c>
      <c r="E17" s="14">
        <f>E16/Inputs!E18</f>
        <v>88.275862391518856</v>
      </c>
      <c r="F17" s="14">
        <f>F16/Inputs!F18</f>
        <v>88.275862391518856</v>
      </c>
      <c r="G17" s="14">
        <f>G16/Inputs!G18</f>
        <v>441.37931195759433</v>
      </c>
      <c r="H17" s="14">
        <f>H16/Inputs!H18</f>
        <v>0</v>
      </c>
    </row>
    <row r="18" spans="1:9" ht="18" customHeight="1">
      <c r="A18" t="s">
        <v>188</v>
      </c>
      <c r="B18" t="s">
        <v>293</v>
      </c>
      <c r="C18" s="195">
        <f>C16*Inputs!C23/kilo</f>
        <v>0</v>
      </c>
      <c r="D18" s="14">
        <f>D16*Inputs!D23/kilo</f>
        <v>375.17240549302471</v>
      </c>
      <c r="E18" s="14">
        <f>E16*Inputs!E23/kilo</f>
        <v>1500.6896606558205</v>
      </c>
      <c r="F18" s="14">
        <f>F16*Inputs!G23/kilo</f>
        <v>1500.6896606558205</v>
      </c>
      <c r="G18" s="14">
        <f>G16*Inputs!H23/kilo</f>
        <v>7503.448303279104</v>
      </c>
      <c r="H18" s="14">
        <f>H16*Inputs!I23/kilo</f>
        <v>0</v>
      </c>
    </row>
    <row r="19" spans="1:9" ht="18" customHeight="1">
      <c r="A19" t="s">
        <v>31</v>
      </c>
      <c r="B19" t="s">
        <v>42</v>
      </c>
      <c r="C19" s="195">
        <f>C16+C14+C6</f>
        <v>21600</v>
      </c>
      <c r="D19" s="14">
        <f>D16+D14+D6</f>
        <v>22703.448251450074</v>
      </c>
      <c r="E19" s="14">
        <f t="shared" ref="E19:G19" si="4">E16+E14+E6</f>
        <v>47613.793119575945</v>
      </c>
      <c r="F19" s="14">
        <f t="shared" si="4"/>
        <v>47613.793119575945</v>
      </c>
      <c r="G19" s="14">
        <f t="shared" si="4"/>
        <v>238068.96559787972</v>
      </c>
      <c r="H19" s="14">
        <f>H16+H14+H6</f>
        <v>108000</v>
      </c>
    </row>
    <row r="20" spans="1:9" ht="18" customHeight="1">
      <c r="A20" t="s">
        <v>31</v>
      </c>
      <c r="B20" t="s">
        <v>294</v>
      </c>
      <c r="C20" s="195">
        <f t="shared" ref="C20" si="5">C19/kilo</f>
        <v>21.6</v>
      </c>
      <c r="D20" s="14">
        <f t="shared" ref="D20:G20" si="6">D19/kilo</f>
        <v>22.703448251450073</v>
      </c>
      <c r="E20" s="14">
        <f t="shared" si="6"/>
        <v>47.613793119575945</v>
      </c>
      <c r="F20" s="14">
        <f t="shared" si="6"/>
        <v>47.613793119575945</v>
      </c>
      <c r="G20" s="14">
        <f t="shared" si="6"/>
        <v>238.06896559787972</v>
      </c>
      <c r="H20" s="14">
        <f t="shared" ref="H20" si="7">H19/kilo</f>
        <v>108</v>
      </c>
    </row>
    <row r="21" spans="1:9" ht="18" customHeight="1">
      <c r="A21" t="s">
        <v>31</v>
      </c>
      <c r="B21" t="s">
        <v>277</v>
      </c>
      <c r="C21" s="195">
        <f>C17+C4+C13</f>
        <v>21.6</v>
      </c>
      <c r="D21" s="14">
        <f>D17+D4+D13</f>
        <v>43.668965029001455</v>
      </c>
      <c r="E21" s="14">
        <f t="shared" ref="E21:F21" si="8">E17+E4+E13</f>
        <v>131.47586239151886</v>
      </c>
      <c r="F21" s="14">
        <f t="shared" si="8"/>
        <v>131.47586239151886</v>
      </c>
      <c r="G21" s="14">
        <f>G17+G4+G13</f>
        <v>657.37931195759438</v>
      </c>
      <c r="H21" s="14">
        <f>H17+H4+H13</f>
        <v>216</v>
      </c>
    </row>
    <row r="22" spans="1:9" ht="18" customHeight="1">
      <c r="A22" t="s">
        <v>22</v>
      </c>
      <c r="B22" t="s">
        <v>81</v>
      </c>
      <c r="C22" s="183">
        <f>C6/C19</f>
        <v>1</v>
      </c>
      <c r="D22" s="4">
        <f>D6/D19</f>
        <v>0.95139732787597153</v>
      </c>
      <c r="E22" s="4">
        <f t="shared" ref="E22:G22" si="9">E6/E19</f>
        <v>0.45365005778376793</v>
      </c>
      <c r="F22" s="4">
        <f t="shared" si="9"/>
        <v>0.45365005778376793</v>
      </c>
      <c r="G22" s="4">
        <f t="shared" si="9"/>
        <v>0.45365005778376793</v>
      </c>
      <c r="H22" s="4">
        <f t="shared" ref="H22" si="10">H6/H19</f>
        <v>1</v>
      </c>
    </row>
    <row r="23" spans="1:9" ht="18" customHeight="1">
      <c r="A23" t="s">
        <v>28</v>
      </c>
      <c r="B23" t="s">
        <v>81</v>
      </c>
      <c r="C23" s="183">
        <f>C16/C19</f>
        <v>0</v>
      </c>
      <c r="D23" s="4">
        <f>D16/D19</f>
        <v>4.8602672124028357E-2</v>
      </c>
      <c r="E23" s="4">
        <f t="shared" ref="E23:G23" si="11">E16/E19</f>
        <v>9.2699884432464075E-2</v>
      </c>
      <c r="F23" s="4">
        <f t="shared" si="11"/>
        <v>9.2699884432464075E-2</v>
      </c>
      <c r="G23" s="4">
        <f t="shared" si="11"/>
        <v>9.2699884432464075E-2</v>
      </c>
      <c r="H23" s="4">
        <f t="shared" ref="H23" si="12">H16/H19</f>
        <v>0</v>
      </c>
      <c r="I23" s="4"/>
    </row>
    <row r="24" spans="1:9" ht="18" customHeight="1">
      <c r="A24" t="s">
        <v>59</v>
      </c>
      <c r="B24" t="s">
        <v>81</v>
      </c>
      <c r="C24" s="183">
        <f>C14/C19</f>
        <v>0</v>
      </c>
      <c r="D24" s="4">
        <f>D14/D19</f>
        <v>0</v>
      </c>
      <c r="E24" s="4">
        <f t="shared" ref="E24:G24" si="13">E14/E19</f>
        <v>0.45365005778376793</v>
      </c>
      <c r="F24" s="4">
        <f t="shared" si="13"/>
        <v>0.45365005778376793</v>
      </c>
      <c r="G24" s="4">
        <f t="shared" si="13"/>
        <v>0.45365005778376793</v>
      </c>
      <c r="H24" s="4">
        <f t="shared" ref="H24" si="14">H14/H19</f>
        <v>0</v>
      </c>
    </row>
    <row r="25" spans="1:9" ht="18" customHeight="1">
      <c r="A25" t="s">
        <v>91</v>
      </c>
      <c r="B25" t="s">
        <v>278</v>
      </c>
      <c r="C25" s="195">
        <f>C6*Inputs!C12*Intermediates!C2*Inputs!C3</f>
        <v>340.19999239593739</v>
      </c>
      <c r="D25" s="14">
        <f>D6*Inputs!D12*Intermediates!D2*Inputs!D3</f>
        <v>340.19999239593739</v>
      </c>
      <c r="E25" s="14">
        <f>E6*Inputs!E12*Intermediates!E2*Inputs!E3</f>
        <v>340.2</v>
      </c>
      <c r="F25" s="14">
        <f>F6*Inputs!F12*Intermediates!F2*Inputs!F3</f>
        <v>340.2</v>
      </c>
      <c r="G25" s="14">
        <f>G6*Inputs!G12*Intermediates!G2*Inputs!G3</f>
        <v>1701</v>
      </c>
      <c r="H25" s="14">
        <f>H6*Inputs!H12*Intermediates!H2*Inputs!H3</f>
        <v>1700.9999619796872</v>
      </c>
    </row>
    <row r="26" spans="1:9" ht="18" customHeight="1">
      <c r="A26" t="s">
        <v>92</v>
      </c>
      <c r="B26" t="s">
        <v>278</v>
      </c>
      <c r="C26" s="195">
        <f>Inputs!C17*Intermediates!C3*Intermediates!C16*Inputs!C3</f>
        <v>0</v>
      </c>
      <c r="D26" s="14">
        <f>Inputs!D17*Intermediates!D3*Intermediates!D16*Inputs!D3</f>
        <v>125.48880240726731</v>
      </c>
      <c r="E26" s="14">
        <f>Inputs!E17*Intermediates!E3*Intermediates!E16*Inputs!E3</f>
        <v>501.95521407202364</v>
      </c>
      <c r="F26" s="14">
        <f>Inputs!F17*Intermediates!F3*Intermediates!F16*Inputs!F3</f>
        <v>501.95521407202364</v>
      </c>
      <c r="G26" s="14">
        <f>Inputs!G17*Intermediates!G3*Intermediates!G16*Inputs!G3</f>
        <v>2509.7760703601184</v>
      </c>
      <c r="H26" s="14">
        <f>Inputs!H17*Intermediates!H3*Intermediates!H16*Inputs!H3</f>
        <v>0</v>
      </c>
    </row>
    <row r="27" spans="1:9" ht="18" customHeight="1">
      <c r="A27" t="s">
        <v>401</v>
      </c>
      <c r="B27" t="s">
        <v>402</v>
      </c>
      <c r="C27" s="195">
        <f>C25*ch4energybtupft3/btupgj/m3pft3</f>
        <v>12.802269080151584</v>
      </c>
      <c r="D27" s="14">
        <f t="shared" ref="D27:G28" si="15">D25*ch4energybtupft3/btupgj/m3pft3</f>
        <v>12.802269080151584</v>
      </c>
      <c r="E27" s="14">
        <f t="shared" si="15"/>
        <v>12.802269366304605</v>
      </c>
      <c r="F27" s="14">
        <f t="shared" si="15"/>
        <v>12.802269366304605</v>
      </c>
      <c r="G27" s="14">
        <f t="shared" si="15"/>
        <v>64.011346831523028</v>
      </c>
      <c r="H27" s="14">
        <f t="shared" ref="H27" si="16">H25*ch4energybtupft3/btupgj/m3pft3</f>
        <v>64.011345400757918</v>
      </c>
    </row>
    <row r="28" spans="1:9" ht="18" customHeight="1">
      <c r="A28" t="s">
        <v>403</v>
      </c>
      <c r="B28" t="s">
        <v>402</v>
      </c>
      <c r="C28" s="195">
        <f t="shared" ref="C28" si="17">C26*ch4energybtupft3/btupgj/m3pft3</f>
        <v>0</v>
      </c>
      <c r="D28" s="14">
        <f t="shared" si="15"/>
        <v>4.7223440648818622</v>
      </c>
      <c r="E28" s="14">
        <f t="shared" si="15"/>
        <v>18.889376426722922</v>
      </c>
      <c r="F28" s="14">
        <f t="shared" si="15"/>
        <v>18.889376426722922</v>
      </c>
      <c r="G28" s="14">
        <f t="shared" si="15"/>
        <v>94.446882133614608</v>
      </c>
      <c r="H28" s="14">
        <f t="shared" ref="H28" si="18">H26*ch4energybtupft3/btupgj/m3pft3</f>
        <v>0</v>
      </c>
    </row>
    <row r="29" spans="1:9" ht="18" customHeight="1">
      <c r="A29" t="s">
        <v>96</v>
      </c>
      <c r="B29" t="s">
        <v>42</v>
      </c>
      <c r="C29" s="195">
        <f>C11+(C16*Inputs!C16)</f>
        <v>1727.9999613761902</v>
      </c>
      <c r="D29" s="14">
        <f>D11+(D16*Inputs!D16)</f>
        <v>2724.4137292786154</v>
      </c>
      <c r="E29" s="14">
        <f>E11+(E16*Inputs!E16)</f>
        <v>5713.6551743491127</v>
      </c>
      <c r="F29" s="14">
        <f>F11+(F16*Inputs!F16)</f>
        <v>5713.6551743491127</v>
      </c>
      <c r="G29" s="14">
        <f>G11+(G16*Inputs!G16)</f>
        <v>28568.275871745565</v>
      </c>
      <c r="H29" s="14">
        <f>H11+(H16*Inputs!H16)</f>
        <v>8639.9998068809509</v>
      </c>
    </row>
    <row r="30" spans="1:9" ht="18" customHeight="1">
      <c r="A30" s="36" t="s">
        <v>8</v>
      </c>
      <c r="B30" s="38"/>
      <c r="C30" s="194"/>
      <c r="D30" s="39"/>
      <c r="E30" s="39"/>
      <c r="F30" s="39"/>
      <c r="G30" s="39"/>
      <c r="H30" s="39"/>
    </row>
    <row r="31" spans="1:9" ht="18" customHeight="1">
      <c r="A31" t="s">
        <v>23</v>
      </c>
      <c r="B31" t="s">
        <v>278</v>
      </c>
      <c r="C31" s="196">
        <f t="shared" ref="C31:G31" si="19">C25+C26</f>
        <v>340.19999239593739</v>
      </c>
      <c r="D31" s="12">
        <f>D25+D26</f>
        <v>465.6887948032047</v>
      </c>
      <c r="E31" s="12">
        <f t="shared" si="19"/>
        <v>842.15521407202368</v>
      </c>
      <c r="F31" s="12">
        <f t="shared" si="19"/>
        <v>842.15521407202368</v>
      </c>
      <c r="G31" s="12">
        <f t="shared" si="19"/>
        <v>4210.776070360118</v>
      </c>
      <c r="H31" s="12">
        <f t="shared" ref="H31" si="20">H25+H26</f>
        <v>1700.9999619796872</v>
      </c>
    </row>
    <row r="32" spans="1:9" ht="18" customHeight="1">
      <c r="A32" t="s">
        <v>29</v>
      </c>
      <c r="B32" t="s">
        <v>279</v>
      </c>
      <c r="C32" s="196">
        <f>C31*Inputs!C23</f>
        <v>115667.99741461872</v>
      </c>
      <c r="D32" s="12">
        <f>D31*Inputs!D23</f>
        <v>158334.19023308961</v>
      </c>
      <c r="E32" s="12">
        <f>E31*Inputs!E23</f>
        <v>286332.77278448804</v>
      </c>
      <c r="F32" s="12">
        <f>F31*Inputs!F23</f>
        <v>286332.77278448804</v>
      </c>
      <c r="G32" s="12">
        <f>G31*Inputs!G23</f>
        <v>1431663.8639224402</v>
      </c>
      <c r="H32" s="12">
        <f>H31*Inputs!H23</f>
        <v>578339.98707309365</v>
      </c>
    </row>
    <row r="33" spans="1:14" ht="18" customHeight="1">
      <c r="A33" t="s">
        <v>77</v>
      </c>
      <c r="B33" t="s">
        <v>279</v>
      </c>
      <c r="C33" s="196">
        <f>C32*Inputs!C8</f>
        <v>112197.95749218015</v>
      </c>
      <c r="D33" s="12">
        <f>D32*Inputs!D8</f>
        <v>153584.16452609692</v>
      </c>
      <c r="E33" s="12">
        <f>E32*Inputs!E8</f>
        <v>277742.7896009534</v>
      </c>
      <c r="F33" s="12">
        <f>F32*Inputs!F8</f>
        <v>277742.7896009534</v>
      </c>
      <c r="G33" s="12">
        <f>G32*Inputs!G8</f>
        <v>1388713.9480047671</v>
      </c>
      <c r="H33" s="12">
        <f>H32*Inputs!H8</f>
        <v>560989.78746090084</v>
      </c>
    </row>
    <row r="34" spans="1:14" ht="18" customHeight="1">
      <c r="A34" t="s">
        <v>24</v>
      </c>
      <c r="B34" t="s">
        <v>280</v>
      </c>
      <c r="C34" s="196">
        <f>C31/Inputs!C6</f>
        <v>566.99996479600793</v>
      </c>
      <c r="D34" s="12">
        <f>D31/Inputs!D6</f>
        <v>776.14796049732547</v>
      </c>
      <c r="E34" s="12">
        <f>E31/Inputs!E6</f>
        <v>1403.5920234533728</v>
      </c>
      <c r="F34" s="12">
        <f>F31/Inputs!F6</f>
        <v>1403.5920234533728</v>
      </c>
      <c r="G34" s="12">
        <f>G31/Inputs!G6</f>
        <v>7017.9601172668636</v>
      </c>
      <c r="H34" s="12">
        <f>H31/Inputs!H6</f>
        <v>2834.999936632812</v>
      </c>
      <c r="K34" s="160"/>
      <c r="L34" s="160"/>
      <c r="M34" s="160"/>
      <c r="N34" s="160"/>
    </row>
    <row r="35" spans="1:14" ht="18" customHeight="1">
      <c r="A35" s="1" t="s">
        <v>61</v>
      </c>
      <c r="B35" s="1" t="s">
        <v>281</v>
      </c>
      <c r="C35" s="197">
        <f>C34/'Unit Conversions'!$B10</f>
        <v>23.624998533166998</v>
      </c>
      <c r="D35" s="13">
        <f>D34/'Unit Conversions'!$B10</f>
        <v>32.33949835405523</v>
      </c>
      <c r="E35" s="13">
        <f>E34/'Unit Conversions'!$B10</f>
        <v>58.483000977223867</v>
      </c>
      <c r="F35" s="13">
        <f>F34/'Unit Conversions'!$B10</f>
        <v>58.483000977223867</v>
      </c>
      <c r="G35" s="13">
        <f>G34/'Unit Conversions'!$B10</f>
        <v>292.41500488611933</v>
      </c>
      <c r="H35" s="13">
        <f>H34/'Unit Conversions'!$B10</f>
        <v>118.1249973597005</v>
      </c>
    </row>
    <row r="36" spans="1:14" ht="18" customHeight="1">
      <c r="A36" t="s">
        <v>25</v>
      </c>
      <c r="B36" t="s">
        <v>282</v>
      </c>
      <c r="C36" s="195">
        <f>C34*Inputs!C23</f>
        <v>192779.98803064271</v>
      </c>
      <c r="D36" s="14">
        <f>D34*Inputs!D23</f>
        <v>263890.30656909064</v>
      </c>
      <c r="E36" s="14">
        <f>E34*Inputs!E23</f>
        <v>477221.28797414678</v>
      </c>
      <c r="F36" s="14">
        <f>F34*Inputs!F23</f>
        <v>477221.28797414678</v>
      </c>
      <c r="G36" s="14">
        <f>G34*Inputs!G23</f>
        <v>2386106.4398707338</v>
      </c>
      <c r="H36" s="14">
        <f>H34*Inputs!H23</f>
        <v>963899.97845515609</v>
      </c>
    </row>
    <row r="37" spans="1:14" ht="18" customHeight="1">
      <c r="A37" t="s">
        <v>34</v>
      </c>
      <c r="B37" t="s">
        <v>35</v>
      </c>
      <c r="C37" s="195">
        <f>C33*ch4energybtupft3/btupgj/m3pft3</f>
        <v>4222.1883426339919</v>
      </c>
      <c r="D37" s="14">
        <f>D33*ch4energybtupft3/btupgj/m3pft3</f>
        <v>5779.6174152320309</v>
      </c>
      <c r="E37" s="14">
        <f t="shared" ref="E37:G37" si="21">E33*ch4energybtupft3/btupgj/m3pft3</f>
        <v>10451.90478254048</v>
      </c>
      <c r="F37" s="14">
        <f t="shared" si="21"/>
        <v>10451.90478254048</v>
      </c>
      <c r="G37" s="14">
        <f t="shared" si="21"/>
        <v>52259.523912702389</v>
      </c>
      <c r="H37" s="14">
        <f t="shared" ref="H37" si="22">H33*ch4energybtupft3/btupgj/m3pft3</f>
        <v>21110.941713169967</v>
      </c>
    </row>
    <row r="38" spans="1:14" ht="18" customHeight="1">
      <c r="A38" t="s">
        <v>34</v>
      </c>
      <c r="B38" t="s">
        <v>187</v>
      </c>
      <c r="C38" s="195">
        <f>C37*btupgj/million</f>
        <v>4001.8623950129231</v>
      </c>
      <c r="D38" s="14">
        <f>D37*btupgj/million</f>
        <v>5478.0203332070678</v>
      </c>
      <c r="E38" s="14">
        <f t="shared" ref="E38:G38" si="23">E37*btupgj/million</f>
        <v>9906.494289501743</v>
      </c>
      <c r="F38" s="14">
        <f t="shared" si="23"/>
        <v>9906.494289501743</v>
      </c>
      <c r="G38" s="14">
        <f t="shared" si="23"/>
        <v>49532.471447508709</v>
      </c>
      <c r="H38" s="14">
        <f t="shared" ref="H38" si="24">H37*btupgj/million</f>
        <v>20009.311975064626</v>
      </c>
      <c r="J38" s="14"/>
    </row>
    <row r="39" spans="1:14" ht="18" customHeight="1">
      <c r="A39" t="s">
        <v>144</v>
      </c>
      <c r="B39" t="s">
        <v>283</v>
      </c>
      <c r="C39" s="198">
        <f>C37/C36</f>
        <v>2.1901590438748588E-2</v>
      </c>
      <c r="D39" s="29">
        <f>D37/D36</f>
        <v>2.1901590438748595E-2</v>
      </c>
      <c r="E39" s="29">
        <f t="shared" ref="E39:G39" si="25">E37/E36</f>
        <v>2.1901589568457613E-2</v>
      </c>
      <c r="F39" s="29">
        <f t="shared" si="25"/>
        <v>2.1901589568457613E-2</v>
      </c>
      <c r="G39" s="29">
        <f t="shared" si="25"/>
        <v>2.190158956845761E-2</v>
      </c>
      <c r="H39" s="29">
        <f t="shared" ref="H39" si="26">H37/H36</f>
        <v>2.1901589568457613E-2</v>
      </c>
      <c r="I39" s="29"/>
      <c r="J39" s="29"/>
    </row>
    <row r="40" spans="1:14" ht="18" customHeight="1">
      <c r="A40" s="30" t="s">
        <v>39</v>
      </c>
      <c r="B40" s="31"/>
      <c r="C40" s="199"/>
      <c r="D40" s="32"/>
      <c r="E40" s="32"/>
      <c r="F40" s="32"/>
      <c r="G40" s="32"/>
      <c r="H40" s="32"/>
    </row>
    <row r="41" spans="1:14" ht="18" customHeight="1">
      <c r="A41" t="s">
        <v>20</v>
      </c>
      <c r="B41" t="s">
        <v>41</v>
      </c>
      <c r="C41" s="195">
        <f>(C6*Inputs!C11)+(Inputs!C16*Intermediates!C16)</f>
        <v>1727.9999613761902</v>
      </c>
      <c r="D41" s="14">
        <f>(D6*Inputs!D11)+(Inputs!D16*Intermediates!D16)</f>
        <v>2724.4137292786154</v>
      </c>
      <c r="E41" s="14">
        <f>(E6*Inputs!E11)+(Inputs!E16*Intermediates!E16)</f>
        <v>5713.6551743491127</v>
      </c>
      <c r="F41" s="14">
        <f>(F6*Inputs!F11)+(Inputs!F16*Intermediates!F16)</f>
        <v>5713.6551743491127</v>
      </c>
      <c r="G41" s="14">
        <f>(G6*Inputs!G11)+(Inputs!G16*Intermediates!G16)</f>
        <v>28568.275871745565</v>
      </c>
      <c r="H41" s="14">
        <f>(H6*Inputs!H11)+(Inputs!H16*Intermediates!H16)</f>
        <v>8639.9998068809509</v>
      </c>
    </row>
    <row r="42" spans="1:14" ht="18" customHeight="1">
      <c r="A42" t="s">
        <v>57</v>
      </c>
      <c r="B42" t="s">
        <v>265</v>
      </c>
      <c r="C42" s="200">
        <f>(Inputs!C6*'Unit Conversions'!$B$21)+('Unit Conversions'!$B$23*(1-Inputs!C6-Inputs!C7))+(Inputs!C7*'Unit Conversions'!$B$25)</f>
        <v>1.1190899722371248</v>
      </c>
      <c r="D42" s="114">
        <f>(Inputs!D6*'Unit Conversions'!$B$21)+('Unit Conversions'!$B$23*(1-Inputs!D6-Inputs!D7))+(Inputs!D7*'Unit Conversions'!$B$25)</f>
        <v>1.1190899722371248</v>
      </c>
      <c r="E42" s="114">
        <f>(Inputs!E6*'Unit Conversions'!$B$21)+('Unit Conversions'!$B$23*(1-Inputs!E6-Inputs!E7))+(Inputs!E7*'Unit Conversions'!$B$25)</f>
        <v>1.1190900000000001</v>
      </c>
      <c r="F42" s="114">
        <f>(Inputs!F6*'Unit Conversions'!$B$21)+('Unit Conversions'!$B$23*(1-Inputs!F6-Inputs!F7))+(Inputs!F7*'Unit Conversions'!$B$25)</f>
        <v>1.1190900000000001</v>
      </c>
      <c r="G42" s="114">
        <f>(Inputs!G6*'Unit Conversions'!$B$21)+('Unit Conversions'!$B$23*(1-Inputs!G6-Inputs!G7))+(Inputs!G7*'Unit Conversions'!$B$25)</f>
        <v>1.1190900000000001</v>
      </c>
      <c r="H42" s="114">
        <f>(Inputs!H6*'Unit Conversions'!$B$21)+('Unit Conversions'!$B$23*(1-Inputs!H6-Inputs!H7))+(Inputs!H7*'Unit Conversions'!$B$25)</f>
        <v>1.1190900000000001</v>
      </c>
    </row>
    <row r="43" spans="1:14" ht="18" customHeight="1">
      <c r="A43" t="s">
        <v>300</v>
      </c>
      <c r="B43" t="s">
        <v>301</v>
      </c>
      <c r="C43" s="183">
        <f>('Unit Conversions'!$B$21*Inputs!C6)/Intermediates!C42</f>
        <v>0.36994346006270812</v>
      </c>
      <c r="D43" s="115">
        <f>('Unit Conversions'!$B$21*Inputs!D6)/Intermediates!D42</f>
        <v>0.36994346006270812</v>
      </c>
      <c r="E43" s="115">
        <f>('Unit Conversions'!$B$21*Inputs!E6)/Intermediates!E42</f>
        <v>0.36994343618475717</v>
      </c>
      <c r="F43" s="115">
        <f>('Unit Conversions'!$B$21*Inputs!F6)/Intermediates!F42</f>
        <v>0.36994343618475717</v>
      </c>
      <c r="G43" s="115">
        <f>('Unit Conversions'!$B$21*Inputs!G6)/Intermediates!G42</f>
        <v>0.36994343618475717</v>
      </c>
      <c r="H43" s="115">
        <f>('Unit Conversions'!$B$21*Inputs!H6)/Intermediates!H42</f>
        <v>0.36994343618475717</v>
      </c>
    </row>
    <row r="44" spans="1:14" ht="18" customHeight="1">
      <c r="A44" t="s">
        <v>299</v>
      </c>
      <c r="B44" t="s">
        <v>302</v>
      </c>
      <c r="C44" s="183">
        <f>('Unit Conversions'!$B$25*Inputs!C7)/Intermediates!C42</f>
        <v>4.9915556512193905E-2</v>
      </c>
      <c r="D44" s="115">
        <f>('Unit Conversions'!$B$25*Inputs!D7)/Intermediates!D42</f>
        <v>4.9915556512193905E-2</v>
      </c>
      <c r="E44" s="115">
        <f>('Unit Conversions'!$B$25*Inputs!E7)/Intermediates!E42</f>
        <v>4.9915556389566518E-2</v>
      </c>
      <c r="F44" s="115">
        <f>('Unit Conversions'!$B$25*Inputs!F7)/Intermediates!F42</f>
        <v>4.9915556389566518E-2</v>
      </c>
      <c r="G44" s="115">
        <f>('Unit Conversions'!$B$25*Inputs!G7)/Intermediates!G42</f>
        <v>4.9915556389566518E-2</v>
      </c>
      <c r="H44" s="115">
        <f>('Unit Conversions'!$B$25*Inputs!H7)/Intermediates!H42</f>
        <v>4.9915556389566518E-2</v>
      </c>
    </row>
    <row r="45" spans="1:14" ht="18" customHeight="1">
      <c r="A45" t="s">
        <v>298</v>
      </c>
      <c r="B45" t="s">
        <v>303</v>
      </c>
      <c r="C45" s="201">
        <f>((1-Inputs!C6-Inputs!C7)*'Unit Conversions'!$B$23)/Intermediates!C42</f>
        <v>0.58014098342509812</v>
      </c>
      <c r="D45" s="101">
        <f>((1-Inputs!D6-Inputs!D7)*'Unit Conversions'!$B$23)/Intermediates!D42</f>
        <v>0.58014098342509812</v>
      </c>
      <c r="E45" s="101">
        <f>((1-Inputs!E6-Inputs!E7)*'Unit Conversions'!$B$23)/Intermediates!E42</f>
        <v>0.5801410074256762</v>
      </c>
      <c r="F45" s="101">
        <f>((1-Inputs!F6-Inputs!F7)*'Unit Conversions'!$B$23)/Intermediates!F42</f>
        <v>0.5801410074256762</v>
      </c>
      <c r="G45" s="101">
        <f>((1-Inputs!G6-Inputs!G7)*'Unit Conversions'!$B$23)/Intermediates!G42</f>
        <v>0.5801410074256762</v>
      </c>
      <c r="H45" s="101">
        <f>((1-Inputs!H6-Inputs!H7)*'Unit Conversions'!$B$23)/Intermediates!H42</f>
        <v>0.5801410074256762</v>
      </c>
    </row>
    <row r="46" spans="1:14" ht="18" customHeight="1">
      <c r="A46" t="s">
        <v>138</v>
      </c>
      <c r="B46" t="s">
        <v>42</v>
      </c>
      <c r="C46" s="196">
        <f>C34*C42</f>
        <v>634.52397486201528</v>
      </c>
      <c r="D46" s="12">
        <f>D34*D42</f>
        <v>868.57939956485302</v>
      </c>
      <c r="E46" s="12">
        <f t="shared" ref="E46:G46" si="27">E34*E42</f>
        <v>1570.7457975264351</v>
      </c>
      <c r="F46" s="12">
        <f t="shared" si="27"/>
        <v>1570.7457975264351</v>
      </c>
      <c r="G46" s="12">
        <f t="shared" si="27"/>
        <v>7853.7289876321756</v>
      </c>
      <c r="H46" s="12">
        <f t="shared" ref="H46" si="28">H34*H42</f>
        <v>3172.6200790864141</v>
      </c>
    </row>
    <row r="47" spans="1:14" ht="18" customHeight="1">
      <c r="A47" t="s">
        <v>58</v>
      </c>
      <c r="B47" t="s">
        <v>42</v>
      </c>
      <c r="C47" s="195">
        <f>(C43*C46)+(C45*C46)</f>
        <v>602.85135753644852</v>
      </c>
      <c r="D47" s="14">
        <f>(D43*D46)+(D45*D46)</f>
        <v>825.22377546054622</v>
      </c>
      <c r="E47" s="14">
        <f t="shared" ref="E47:G47" si="29">(E43*E46)+(E45*E46)</f>
        <v>1492.3411470963297</v>
      </c>
      <c r="F47" s="14">
        <f t="shared" si="29"/>
        <v>1492.3411470963297</v>
      </c>
      <c r="G47" s="14">
        <f t="shared" si="29"/>
        <v>7461.7057354816479</v>
      </c>
      <c r="H47" s="14">
        <f t="shared" ref="H47" si="30">(H43*H46)+(H45*H46)</f>
        <v>3014.2569826261051</v>
      </c>
    </row>
    <row r="48" spans="1:14" ht="18" customHeight="1">
      <c r="A48" t="s">
        <v>137</v>
      </c>
      <c r="B48" t="s">
        <v>42</v>
      </c>
      <c r="C48" s="195">
        <f>C44*C46</f>
        <v>31.672617325566829</v>
      </c>
      <c r="D48" s="14">
        <f>D44*D46</f>
        <v>43.35562410430687</v>
      </c>
      <c r="E48" s="14">
        <f t="shared" ref="E48:G48" si="31">E44*E46</f>
        <v>78.404650430105406</v>
      </c>
      <c r="F48" s="14">
        <f t="shared" si="31"/>
        <v>78.404650430105406</v>
      </c>
      <c r="G48" s="14">
        <f t="shared" si="31"/>
        <v>392.02325215052701</v>
      </c>
      <c r="H48" s="14">
        <f t="shared" ref="H48" si="32">H44*H46</f>
        <v>158.3630964603089</v>
      </c>
    </row>
    <row r="49" spans="1:16" ht="18" customHeight="1">
      <c r="A49" t="s">
        <v>38</v>
      </c>
      <c r="B49" t="s">
        <v>42</v>
      </c>
      <c r="C49" s="195">
        <f>C41-C47</f>
        <v>1125.1486038397416</v>
      </c>
      <c r="D49" s="14">
        <f>D41-D47</f>
        <v>1899.1899538180692</v>
      </c>
      <c r="E49" s="14">
        <f t="shared" ref="E49:G49" si="33">E41-E47</f>
        <v>4221.3140272527835</v>
      </c>
      <c r="F49" s="14">
        <f t="shared" si="33"/>
        <v>4221.3140272527835</v>
      </c>
      <c r="G49" s="14">
        <f t="shared" si="33"/>
        <v>21106.570136263916</v>
      </c>
      <c r="H49" s="14">
        <f t="shared" ref="H49" si="34">H41-H47</f>
        <v>5625.7428242548458</v>
      </c>
      <c r="J49" s="268"/>
      <c r="K49" s="268"/>
      <c r="L49" s="268"/>
      <c r="M49" s="268"/>
    </row>
    <row r="50" spans="1:16" ht="18" customHeight="1">
      <c r="A50" t="s">
        <v>37</v>
      </c>
      <c r="B50" t="s">
        <v>42</v>
      </c>
      <c r="C50" s="195">
        <f t="shared" ref="C50:G50" si="35">C19-C46-C49</f>
        <v>19840.327421298243</v>
      </c>
      <c r="D50" s="14">
        <f t="shared" si="35"/>
        <v>19935.678898067152</v>
      </c>
      <c r="E50" s="14">
        <f t="shared" si="35"/>
        <v>41821.73329479673</v>
      </c>
      <c r="F50" s="14">
        <f t="shared" si="35"/>
        <v>41821.73329479673</v>
      </c>
      <c r="G50" s="14">
        <f t="shared" si="35"/>
        <v>209108.66647398364</v>
      </c>
      <c r="H50" s="14">
        <f t="shared" ref="H50" si="36">H19-H46-H49</f>
        <v>99201.637096658742</v>
      </c>
      <c r="J50" s="28"/>
    </row>
    <row r="51" spans="1:16" ht="18" customHeight="1">
      <c r="A51" t="s">
        <v>142</v>
      </c>
      <c r="B51" t="s">
        <v>296</v>
      </c>
      <c r="C51" s="195">
        <f>C50+C49+C46</f>
        <v>21600</v>
      </c>
      <c r="D51" s="14">
        <f>D50+D49+D46</f>
        <v>22703.448251450074</v>
      </c>
      <c r="E51" s="14">
        <f t="shared" ref="E51:G51" si="37">E50+E49+E46</f>
        <v>47613.793119575945</v>
      </c>
      <c r="F51" s="14">
        <f t="shared" si="37"/>
        <v>47613.793119575945</v>
      </c>
      <c r="G51" s="14">
        <f t="shared" si="37"/>
        <v>238068.96559787972</v>
      </c>
      <c r="H51" s="14">
        <f t="shared" ref="H51" si="38">H50+H49+H46</f>
        <v>108000</v>
      </c>
    </row>
    <row r="52" spans="1:16" ht="18" customHeight="1">
      <c r="A52" t="s">
        <v>142</v>
      </c>
      <c r="B52" t="s">
        <v>297</v>
      </c>
      <c r="C52" s="195">
        <f t="shared" ref="C52:G52" si="39">C19-C51</f>
        <v>0</v>
      </c>
      <c r="D52" s="14">
        <f t="shared" si="39"/>
        <v>0</v>
      </c>
      <c r="E52" s="14">
        <f t="shared" si="39"/>
        <v>0</v>
      </c>
      <c r="F52" s="14">
        <f t="shared" si="39"/>
        <v>0</v>
      </c>
      <c r="G52" s="14">
        <f t="shared" si="39"/>
        <v>0</v>
      </c>
      <c r="H52" s="14">
        <f t="shared" ref="H52" si="40">H19-H51</f>
        <v>0</v>
      </c>
    </row>
    <row r="53" spans="1:16" ht="18" customHeight="1">
      <c r="A53" s="30" t="s">
        <v>4</v>
      </c>
      <c r="B53" s="31"/>
      <c r="C53" s="185"/>
      <c r="D53" s="33"/>
      <c r="E53" s="33"/>
      <c r="F53" s="33"/>
      <c r="G53" s="33"/>
      <c r="H53" s="33"/>
    </row>
    <row r="54" spans="1:16" ht="18" customHeight="1">
      <c r="A54" s="136" t="s">
        <v>385</v>
      </c>
      <c r="B54" s="136" t="s">
        <v>386</v>
      </c>
      <c r="C54" s="195">
        <v>13575</v>
      </c>
      <c r="D54" s="137">
        <v>13575</v>
      </c>
      <c r="E54" s="137">
        <v>13575</v>
      </c>
      <c r="F54" s="137">
        <v>13575</v>
      </c>
      <c r="G54" s="137">
        <v>13575</v>
      </c>
      <c r="H54" s="137">
        <v>13575</v>
      </c>
      <c r="J54" s="18"/>
      <c r="K54" s="18"/>
      <c r="L54" s="18"/>
      <c r="M54" s="18"/>
    </row>
    <row r="55" spans="1:16" ht="18" customHeight="1">
      <c r="A55" s="136" t="s">
        <v>63</v>
      </c>
      <c r="B55" s="136"/>
      <c r="C55" s="186">
        <v>0.59</v>
      </c>
      <c r="D55" s="138">
        <v>0.59</v>
      </c>
      <c r="E55" s="138">
        <v>0.59</v>
      </c>
      <c r="F55" s="138">
        <v>0.59</v>
      </c>
      <c r="G55" s="138">
        <v>0.59</v>
      </c>
      <c r="H55" s="138">
        <v>0.59</v>
      </c>
    </row>
    <row r="56" spans="1:16" ht="18" customHeight="1">
      <c r="A56" t="s">
        <v>390</v>
      </c>
      <c r="B56" t="s">
        <v>391</v>
      </c>
      <c r="C56" s="202">
        <f>Inputs!C4*Intermediates!C21</f>
        <v>604.80000000000007</v>
      </c>
      <c r="D56" s="164">
        <f>Inputs!D4*Intermediates!D21</f>
        <v>1222.7310208120407</v>
      </c>
      <c r="E56" s="164">
        <f>Inputs!E4*Intermediates!E21</f>
        <v>3681.3241469625282</v>
      </c>
      <c r="F56" s="164">
        <f>Inputs!F4*Intermediates!F21</f>
        <v>3681.3241469625282</v>
      </c>
      <c r="G56" s="164">
        <f>Inputs!G4*Intermediates!G21</f>
        <v>18406.620734812641</v>
      </c>
      <c r="H56" s="164">
        <f>Inputs!H4*Intermediates!H21</f>
        <v>6048</v>
      </c>
    </row>
    <row r="57" spans="1:16" ht="18" customHeight="1">
      <c r="A57" t="s">
        <v>392</v>
      </c>
      <c r="B57" t="s">
        <v>393</v>
      </c>
      <c r="C57" s="203">
        <v>6.8000000000000005E-2</v>
      </c>
      <c r="D57" s="165">
        <v>6.8000000000000005E-2</v>
      </c>
      <c r="E57" s="165">
        <v>6.8000000000000005E-2</v>
      </c>
      <c r="F57" s="165">
        <v>6.8000000000000005E-2</v>
      </c>
      <c r="G57" s="165">
        <v>6.8000000000000005E-2</v>
      </c>
      <c r="H57" s="165">
        <v>6.8000000000000005E-2</v>
      </c>
    </row>
    <row r="58" spans="1:16" ht="18" customHeight="1">
      <c r="A58" t="s">
        <v>395</v>
      </c>
      <c r="B58" t="s">
        <v>388</v>
      </c>
      <c r="C58" s="203">
        <v>20</v>
      </c>
      <c r="D58" s="165">
        <v>20</v>
      </c>
      <c r="E58" s="165">
        <v>20</v>
      </c>
      <c r="F58" s="165">
        <v>20</v>
      </c>
      <c r="G58" s="165">
        <v>20</v>
      </c>
      <c r="H58" s="165">
        <v>20</v>
      </c>
      <c r="O58" s="18"/>
      <c r="P58" s="18"/>
    </row>
    <row r="59" spans="1:16" ht="18" customHeight="1">
      <c r="A59" t="s">
        <v>394</v>
      </c>
      <c r="B59" t="s">
        <v>386</v>
      </c>
      <c r="C59" s="204">
        <f t="shared" ref="C59:G59" si="41">C54/(C57*C58)</f>
        <v>9981.6176470588234</v>
      </c>
      <c r="D59" s="16">
        <f t="shared" si="41"/>
        <v>9981.6176470588234</v>
      </c>
      <c r="E59" s="16">
        <f t="shared" si="41"/>
        <v>9981.6176470588234</v>
      </c>
      <c r="F59" s="16">
        <f t="shared" si="41"/>
        <v>9981.6176470588234</v>
      </c>
      <c r="G59" s="16">
        <f t="shared" si="41"/>
        <v>9981.6176470588234</v>
      </c>
      <c r="H59" s="16">
        <f t="shared" ref="H59" si="42">H54/(H57*H58)</f>
        <v>9981.6176470588234</v>
      </c>
      <c r="J59" s="18"/>
      <c r="K59" s="18"/>
      <c r="L59" s="18"/>
      <c r="M59" s="18"/>
      <c r="O59" s="18"/>
      <c r="P59" s="18"/>
    </row>
    <row r="60" spans="1:16" ht="18" customHeight="1">
      <c r="A60" t="s">
        <v>394</v>
      </c>
      <c r="B60" t="s">
        <v>74</v>
      </c>
      <c r="C60" s="204">
        <f t="shared" ref="C60:G60" si="43">C59*(C91/C88)</f>
        <v>11114.708671803783</v>
      </c>
      <c r="D60" s="16">
        <f t="shared" si="43"/>
        <v>11114.708671803783</v>
      </c>
      <c r="E60" s="16">
        <f t="shared" si="43"/>
        <v>11114.708671803783</v>
      </c>
      <c r="F60" s="16">
        <f t="shared" si="43"/>
        <v>11114.708671803783</v>
      </c>
      <c r="G60" s="16">
        <f t="shared" si="43"/>
        <v>11114.708671803783</v>
      </c>
      <c r="H60" s="16">
        <f t="shared" ref="H60" si="44">H59*(H91/H88)</f>
        <v>11114.708671803783</v>
      </c>
      <c r="J60" s="18"/>
      <c r="K60" s="18"/>
      <c r="L60" s="18"/>
      <c r="M60" s="18"/>
    </row>
    <row r="61" spans="1:16" ht="18" customHeight="1">
      <c r="A61" s="1" t="s">
        <v>158</v>
      </c>
      <c r="B61" s="1" t="s">
        <v>74</v>
      </c>
      <c r="C61" s="205">
        <f>C60*(C56^C55)</f>
        <v>486462.12830203032</v>
      </c>
      <c r="D61" s="9">
        <f>D60*(D56^D55)</f>
        <v>736925.07249471033</v>
      </c>
      <c r="E61" s="9">
        <f t="shared" ref="E61:F61" si="45">E60*(E56^E55)</f>
        <v>1412018.7997155378</v>
      </c>
      <c r="F61" s="9">
        <f t="shared" si="45"/>
        <v>1412018.7997155378</v>
      </c>
      <c r="G61" s="9">
        <f>G60*(G56^G55)</f>
        <v>3649495.0719196815</v>
      </c>
      <c r="H61" s="9">
        <f>H60*(H56^H55)</f>
        <v>1892557.2923948974</v>
      </c>
    </row>
    <row r="62" spans="1:16" ht="18" customHeight="1">
      <c r="A62" s="136" t="s">
        <v>372</v>
      </c>
      <c r="B62" s="136" t="s">
        <v>374</v>
      </c>
      <c r="C62" s="195">
        <f>IF(Inputs!C26=0,0,IF(Inputs!C26&lt;1609.34,600000,1000000))</f>
        <v>600000</v>
      </c>
      <c r="D62" s="137">
        <f>IF(Inputs!D26=0,0,IF(Inputs!D26&lt;1609.34,600000,1000000))</f>
        <v>600000</v>
      </c>
      <c r="E62" s="137">
        <f>IF(Inputs!E26=0,0,IF(Inputs!E26&lt;1609.34,600000,1000000))</f>
        <v>600000</v>
      </c>
      <c r="F62" s="137">
        <f>IF(Inputs!F26=0,0,IF(Inputs!F26&lt;1609.34,600000,1000000))</f>
        <v>0</v>
      </c>
      <c r="G62" s="137">
        <f>IF(Inputs!G26=0,0,IF(Inputs!G26&lt;1609.34,600000,1000000))</f>
        <v>0</v>
      </c>
      <c r="H62" s="137">
        <f>IF(Inputs!H26=0,0,IF(Inputs!H26&lt;1609.34,600000,1000000))</f>
        <v>0</v>
      </c>
    </row>
    <row r="63" spans="1:16" ht="18" customHeight="1">
      <c r="A63" s="1" t="s">
        <v>331</v>
      </c>
      <c r="B63" s="1" t="s">
        <v>74</v>
      </c>
      <c r="C63" s="206">
        <f>IF(C62=600000,600000,(C62*Inputs!C26/meterpermile))</f>
        <v>600000</v>
      </c>
      <c r="D63" s="156">
        <f>IF(D62=600000,600000,(D62*Inputs!D26/meterpermile))</f>
        <v>600000</v>
      </c>
      <c r="E63" s="156">
        <f>IF(E62=600000,600000,(E62*Inputs!E26/meterpermile))</f>
        <v>600000</v>
      </c>
      <c r="F63" s="156">
        <f>IF(F62=600000,600000,(F62*Inputs!F26/meterpermile))</f>
        <v>0</v>
      </c>
      <c r="G63" s="156">
        <f>IF(G62=600000,600000,(G62*Inputs!G26/meterpermile))</f>
        <v>0</v>
      </c>
      <c r="H63" s="156">
        <f>IF(H62=600000,600000,(H62*Inputs!H26/meterpermile))</f>
        <v>0</v>
      </c>
    </row>
    <row r="64" spans="1:16" ht="18" customHeight="1">
      <c r="A64" s="136" t="s">
        <v>431</v>
      </c>
      <c r="B64" s="136" t="s">
        <v>432</v>
      </c>
      <c r="C64" s="194">
        <v>0.02</v>
      </c>
      <c r="D64" s="141">
        <v>0.02</v>
      </c>
      <c r="E64" s="141">
        <v>0.02</v>
      </c>
      <c r="F64" s="141">
        <v>0.02</v>
      </c>
      <c r="G64" s="141">
        <v>0.02</v>
      </c>
      <c r="H64" s="141">
        <v>0.02</v>
      </c>
    </row>
    <row r="65" spans="1:9" ht="18" customHeight="1">
      <c r="A65" t="s">
        <v>431</v>
      </c>
      <c r="B65" t="s">
        <v>433</v>
      </c>
      <c r="C65" s="195">
        <f t="shared" ref="C65:G65" si="46">C64*C10</f>
        <v>38801.609336901427</v>
      </c>
      <c r="D65" s="14">
        <f>D64*D10</f>
        <v>38801.609336901427</v>
      </c>
      <c r="E65" s="14">
        <f t="shared" si="46"/>
        <v>38801.609336901427</v>
      </c>
      <c r="F65" s="14">
        <f t="shared" si="46"/>
        <v>38801.609336901427</v>
      </c>
      <c r="G65" s="14">
        <f t="shared" si="46"/>
        <v>194008.04668450711</v>
      </c>
      <c r="H65" s="14">
        <f t="shared" ref="H65" si="47">H64*H10</f>
        <v>194008.04668450711</v>
      </c>
    </row>
    <row r="66" spans="1:9" ht="18" customHeight="1">
      <c r="A66" t="s">
        <v>436</v>
      </c>
      <c r="B66" t="s">
        <v>435</v>
      </c>
      <c r="C66" s="195">
        <f t="shared" ref="C66:G66" si="48">C65*(C91/C93)</f>
        <v>53912.51651219678</v>
      </c>
      <c r="D66" s="14">
        <f t="shared" si="48"/>
        <v>53912.51651219678</v>
      </c>
      <c r="E66" s="14">
        <f t="shared" si="48"/>
        <v>53912.51651219678</v>
      </c>
      <c r="F66" s="14">
        <f t="shared" si="48"/>
        <v>53912.51651219678</v>
      </c>
      <c r="G66" s="14">
        <f t="shared" si="48"/>
        <v>269562.58256098389</v>
      </c>
      <c r="H66" s="14">
        <f t="shared" ref="H66" si="49">H65*(H91/H93)</f>
        <v>269562.58256098389</v>
      </c>
      <c r="I66" s="233"/>
    </row>
    <row r="67" spans="1:9" ht="18" customHeight="1">
      <c r="A67" s="136" t="s">
        <v>437</v>
      </c>
      <c r="B67" s="136" t="s">
        <v>438</v>
      </c>
      <c r="C67" s="137">
        <v>15</v>
      </c>
      <c r="D67" s="137">
        <v>15</v>
      </c>
      <c r="E67" s="137">
        <v>15</v>
      </c>
      <c r="F67" s="137">
        <v>15</v>
      </c>
      <c r="G67" s="137">
        <v>15</v>
      </c>
      <c r="H67" s="137">
        <v>15</v>
      </c>
    </row>
    <row r="68" spans="1:9" ht="18" customHeight="1">
      <c r="A68" t="s">
        <v>439</v>
      </c>
      <c r="B68" t="s">
        <v>444</v>
      </c>
      <c r="C68" s="195">
        <f>(C9/m3pft3)/Intermediates!C67</f>
        <v>17290.089275624367</v>
      </c>
      <c r="D68" s="14">
        <f>(D9/m3pft3)/Intermediates!D67</f>
        <v>17290.089275624367</v>
      </c>
      <c r="E68" s="14">
        <f>(E9/m3pft3)/Intermediates!E67</f>
        <v>17290.089275624367</v>
      </c>
      <c r="F68" s="14">
        <f>(F9/m3pft3)/Intermediates!F67</f>
        <v>17290.089275624367</v>
      </c>
      <c r="G68" s="14">
        <f>(G9/m3pft3)/Intermediates!G67</f>
        <v>86450.446378121822</v>
      </c>
      <c r="H68" s="14">
        <f>(H9/m3pft3)/Intermediates!H67</f>
        <v>86450.446378121822</v>
      </c>
    </row>
    <row r="69" spans="1:9" ht="18" customHeight="1">
      <c r="A69" s="136" t="s">
        <v>440</v>
      </c>
      <c r="B69" s="136" t="s">
        <v>441</v>
      </c>
      <c r="C69" s="195">
        <v>1</v>
      </c>
      <c r="D69" s="137">
        <v>1</v>
      </c>
      <c r="E69" s="137">
        <v>1</v>
      </c>
      <c r="F69" s="137">
        <v>1</v>
      </c>
      <c r="G69" s="137">
        <v>1</v>
      </c>
      <c r="H69" s="137">
        <v>1</v>
      </c>
    </row>
    <row r="70" spans="1:9" ht="18" customHeight="1">
      <c r="A70" t="s">
        <v>440</v>
      </c>
      <c r="B70" t="s">
        <v>442</v>
      </c>
      <c r="C70" s="195">
        <f>C69*C68</f>
        <v>17290.089275624367</v>
      </c>
      <c r="D70" s="14">
        <f>D69*D68</f>
        <v>17290.089275624367</v>
      </c>
      <c r="E70" s="14">
        <f t="shared" ref="E70:G70" si="50">E69*E68</f>
        <v>17290.089275624367</v>
      </c>
      <c r="F70" s="14">
        <f t="shared" si="50"/>
        <v>17290.089275624367</v>
      </c>
      <c r="G70" s="14">
        <f t="shared" si="50"/>
        <v>86450.446378121822</v>
      </c>
      <c r="H70" s="14">
        <f t="shared" ref="H70" si="51">H69*H68</f>
        <v>86450.446378121822</v>
      </c>
    </row>
    <row r="71" spans="1:9" ht="18" customHeight="1">
      <c r="A71" s="1" t="s">
        <v>443</v>
      </c>
      <c r="B71" s="1" t="s">
        <v>445</v>
      </c>
      <c r="C71" s="206">
        <f>C70+C66</f>
        <v>71202.605787821143</v>
      </c>
      <c r="D71" s="156">
        <f>D70+D66</f>
        <v>71202.605787821143</v>
      </c>
      <c r="E71" s="156">
        <f t="shared" ref="E71:G71" si="52">E70+E66</f>
        <v>71202.605787821143</v>
      </c>
      <c r="F71" s="156">
        <f t="shared" si="52"/>
        <v>71202.605787821143</v>
      </c>
      <c r="G71" s="156">
        <f t="shared" si="52"/>
        <v>356013.02893910569</v>
      </c>
      <c r="H71" s="156">
        <f t="shared" ref="H71" si="53">H70+H66</f>
        <v>356013.02893910569</v>
      </c>
    </row>
    <row r="72" spans="1:9" ht="18" customHeight="1">
      <c r="A72" t="s">
        <v>447</v>
      </c>
      <c r="B72" t="s">
        <v>446</v>
      </c>
      <c r="C72" s="195">
        <v>10000</v>
      </c>
      <c r="D72" s="14">
        <v>10000</v>
      </c>
      <c r="E72" s="14">
        <v>10000</v>
      </c>
      <c r="F72" s="14">
        <v>10000</v>
      </c>
      <c r="G72" s="14">
        <v>10000</v>
      </c>
      <c r="H72" s="14">
        <v>10000</v>
      </c>
    </row>
    <row r="73" spans="1:9" ht="18" customHeight="1">
      <c r="A73" s="136" t="s">
        <v>448</v>
      </c>
      <c r="B73" s="136"/>
      <c r="C73" s="195">
        <v>1</v>
      </c>
      <c r="D73" s="137">
        <v>1</v>
      </c>
      <c r="E73" s="137">
        <v>1</v>
      </c>
      <c r="F73" s="137">
        <v>1</v>
      </c>
      <c r="G73" s="137">
        <v>5</v>
      </c>
      <c r="H73" s="137">
        <v>5</v>
      </c>
    </row>
    <row r="74" spans="1:9" ht="18" customHeight="1">
      <c r="A74" t="s">
        <v>449</v>
      </c>
      <c r="B74" t="s">
        <v>446</v>
      </c>
      <c r="C74" s="195">
        <f>C73*C72</f>
        <v>10000</v>
      </c>
      <c r="D74" s="14">
        <f>D73*D72</f>
        <v>10000</v>
      </c>
      <c r="E74" s="14">
        <f t="shared" ref="E74:G74" si="54">E73*E72</f>
        <v>10000</v>
      </c>
      <c r="F74" s="14">
        <f t="shared" si="54"/>
        <v>10000</v>
      </c>
      <c r="G74" s="14">
        <f t="shared" si="54"/>
        <v>50000</v>
      </c>
      <c r="H74" s="14">
        <f t="shared" ref="H74" si="55">H73*H72</f>
        <v>50000</v>
      </c>
    </row>
    <row r="75" spans="1:9" ht="18" customHeight="1">
      <c r="A75" t="s">
        <v>450</v>
      </c>
      <c r="C75" s="194">
        <v>1.48</v>
      </c>
      <c r="D75" s="28">
        <v>1.48</v>
      </c>
      <c r="E75" s="28">
        <v>1.48</v>
      </c>
      <c r="F75" s="28">
        <v>1.48</v>
      </c>
      <c r="G75" s="28">
        <v>1.48</v>
      </c>
      <c r="H75" s="28">
        <v>1.48</v>
      </c>
    </row>
    <row r="76" spans="1:9" ht="18" customHeight="1">
      <c r="A76" s="136" t="s">
        <v>451</v>
      </c>
      <c r="B76" s="136" t="s">
        <v>452</v>
      </c>
      <c r="C76" s="195">
        <f>C75*C74</f>
        <v>14800</v>
      </c>
      <c r="D76" s="137">
        <f t="shared" ref="D76:F76" si="56">D75*D74</f>
        <v>14800</v>
      </c>
      <c r="E76" s="137">
        <f t="shared" si="56"/>
        <v>14800</v>
      </c>
      <c r="F76" s="137">
        <f t="shared" si="56"/>
        <v>14800</v>
      </c>
      <c r="G76" s="137">
        <v>74000</v>
      </c>
      <c r="H76" s="137">
        <v>74000</v>
      </c>
    </row>
    <row r="77" spans="1:9" ht="18" customHeight="1">
      <c r="A77" t="s">
        <v>453</v>
      </c>
      <c r="C77" s="207">
        <v>0.78349999999999997</v>
      </c>
      <c r="D77" s="169">
        <v>0.78349999999999997</v>
      </c>
      <c r="E77" s="169">
        <v>0.78349999999999997</v>
      </c>
      <c r="F77" s="169">
        <v>0.78349999999999997</v>
      </c>
      <c r="G77" s="169">
        <v>0.78349999999999997</v>
      </c>
      <c r="H77" s="169">
        <v>0.78349999999999997</v>
      </c>
    </row>
    <row r="78" spans="1:9" ht="18" customHeight="1">
      <c r="A78" s="1" t="s">
        <v>451</v>
      </c>
      <c r="B78" t="s">
        <v>74</v>
      </c>
      <c r="C78" s="206">
        <f>C76/C77</f>
        <v>18889.597957881302</v>
      </c>
      <c r="D78" s="156">
        <f>D76/D77</f>
        <v>18889.597957881302</v>
      </c>
      <c r="E78" s="156">
        <f t="shared" ref="E78:G78" si="57">E76/E77</f>
        <v>18889.597957881302</v>
      </c>
      <c r="F78" s="156">
        <f t="shared" si="57"/>
        <v>18889.597957881302</v>
      </c>
      <c r="G78" s="156">
        <f t="shared" si="57"/>
        <v>94447.989789406507</v>
      </c>
      <c r="H78" s="156">
        <f t="shared" ref="H78" si="58">H76/H77</f>
        <v>94447.989789406507</v>
      </c>
    </row>
    <row r="79" spans="1:9" ht="18" customHeight="1">
      <c r="A79" s="136" t="s">
        <v>103</v>
      </c>
      <c r="B79" s="136"/>
      <c r="C79" s="194">
        <v>0.1469</v>
      </c>
      <c r="D79" s="141">
        <v>0.1469</v>
      </c>
      <c r="E79" s="141">
        <v>0.1469</v>
      </c>
      <c r="F79" s="141">
        <v>0.1469</v>
      </c>
      <c r="G79" s="141">
        <v>0.1469</v>
      </c>
      <c r="H79" s="141">
        <v>0.1469</v>
      </c>
      <c r="I79" s="235"/>
    </row>
    <row r="80" spans="1:9" ht="18" customHeight="1">
      <c r="A80" s="136" t="s">
        <v>104</v>
      </c>
      <c r="B80" s="136"/>
      <c r="C80" s="194">
        <v>111.25700000000001</v>
      </c>
      <c r="D80" s="141">
        <v>111.25700000000001</v>
      </c>
      <c r="E80" s="141">
        <v>111.25700000000001</v>
      </c>
      <c r="F80" s="141">
        <v>111.25700000000001</v>
      </c>
      <c r="G80" s="141">
        <v>111.25700000000001</v>
      </c>
      <c r="H80" s="141">
        <v>111.25700000000001</v>
      </c>
      <c r="I80" s="235"/>
    </row>
    <row r="81" spans="1:9" ht="18" customHeight="1">
      <c r="A81" s="136" t="s">
        <v>373</v>
      </c>
      <c r="B81" s="136" t="s">
        <v>461</v>
      </c>
      <c r="C81" s="194">
        <f>IF(Inputs!C28=0,0,IF(AND(Inputs!C28&gt;0,Inputs!C28&lt;1),600000,1000000))</f>
        <v>0</v>
      </c>
      <c r="D81" s="141">
        <f>IF(Inputs!D28=0,0,IF(AND(Inputs!D28&gt;0,Inputs!D28&lt;1),600000,1000000))</f>
        <v>0</v>
      </c>
      <c r="E81" s="141">
        <f>IF(Inputs!E28=0,0,IF(AND(Inputs!E28&gt;0,Inputs!E28&lt;1),600000,1000000))</f>
        <v>0</v>
      </c>
      <c r="F81" s="141">
        <f>IF(Inputs!F28=0,0,IF(AND(Inputs!F28&gt;0,Inputs!F28&lt;1),600000,1000000))</f>
        <v>1000000</v>
      </c>
      <c r="G81" s="141">
        <f>IF(Inputs!G28=0,0,IF(AND(Inputs!G28&gt;0,Inputs!G28&lt;1),600000,1000000))</f>
        <v>0</v>
      </c>
      <c r="H81" s="141">
        <f>IF(Inputs!H28=0,0,IF(AND(Inputs!H28&gt;0,Inputs!H28&lt;1),600000,1000000))</f>
        <v>0</v>
      </c>
      <c r="I81" s="235"/>
    </row>
    <row r="82" spans="1:9" ht="18" customHeight="1">
      <c r="A82" t="s">
        <v>105</v>
      </c>
      <c r="B82" t="s">
        <v>74</v>
      </c>
      <c r="C82" s="204">
        <f>IF(C81=600000,600000,IF(C81=1000000,C81*Inputs!C28,IF(Intermediates!C81=0,0)))</f>
        <v>0</v>
      </c>
      <c r="D82" s="16">
        <f>IF(D81=600000,600000,IF(D81=1000000,D81*Inputs!D28,IF(Intermediates!D81=0,0)))</f>
        <v>0</v>
      </c>
      <c r="E82" s="16">
        <f>IF(E81=600000,600000,IF(E81=1000000,E81*Inputs!E28,IF(Intermediates!E81=0,0)))</f>
        <v>0</v>
      </c>
      <c r="F82" s="16">
        <f>F81*Inputs!F28</f>
        <v>2500000</v>
      </c>
      <c r="G82" s="16">
        <f>IF(G81=600000,600000,IF(G81=1000000,G81*Inputs!G28,IF(Intermediates!G81=0,0)))</f>
        <v>0</v>
      </c>
      <c r="H82" s="16">
        <f>IF(H81=600000,600000,IF(H81=1000000,H81*Inputs!H28,IF(Intermediates!H81=0,0)))</f>
        <v>0</v>
      </c>
      <c r="I82" s="235"/>
    </row>
    <row r="83" spans="1:9" ht="18" customHeight="1">
      <c r="A83" s="136" t="s">
        <v>107</v>
      </c>
      <c r="B83" s="136" t="s">
        <v>64</v>
      </c>
      <c r="C83" s="204">
        <f>IF(C82&gt;0,C80+(C79*C35),0)</f>
        <v>0</v>
      </c>
      <c r="D83" s="139">
        <f>IF(D82&gt;0,D80+(D79*D35),0)</f>
        <v>0</v>
      </c>
      <c r="E83" s="139">
        <f>IF(E82&gt;0,E80+(E79*E35),0)</f>
        <v>0</v>
      </c>
      <c r="F83" s="139">
        <f>IF(F82&gt;0,F80+(F79*F35),0)*1000</f>
        <v>119848.15284355418</v>
      </c>
      <c r="G83" s="139">
        <f>IF(G82&gt;0,G80+(G79*G35),0)*1000</f>
        <v>0</v>
      </c>
      <c r="H83" s="139">
        <f>IF(H82&gt;0,H80+(H79*H35),0)*1000</f>
        <v>0</v>
      </c>
      <c r="I83" s="235"/>
    </row>
    <row r="84" spans="1:9" ht="18" customHeight="1">
      <c r="A84" s="136" t="s">
        <v>115</v>
      </c>
      <c r="B84" s="136" t="s">
        <v>64</v>
      </c>
      <c r="C84" s="204">
        <f>IF(C82&gt;0,5000,0)</f>
        <v>0</v>
      </c>
      <c r="D84" s="139">
        <f>IF(D82&gt;0,5000,0)</f>
        <v>0</v>
      </c>
      <c r="E84" s="139">
        <f t="shared" ref="E84" si="59">IF(E82&gt;0,5000,0)</f>
        <v>0</v>
      </c>
      <c r="F84" s="139">
        <f>IF(F82&gt;0,5000,0)</f>
        <v>5000</v>
      </c>
      <c r="G84" s="139">
        <f>IF(G82&gt;0,5000,0)</f>
        <v>0</v>
      </c>
      <c r="H84" s="139">
        <f>IF(H82&gt;0,5000,0)</f>
        <v>0</v>
      </c>
      <c r="I84" s="244"/>
    </row>
    <row r="85" spans="1:9" ht="18" customHeight="1">
      <c r="A85" t="s">
        <v>375</v>
      </c>
      <c r="B85" t="s">
        <v>74</v>
      </c>
      <c r="C85" s="204">
        <f t="shared" ref="C85" si="60">((C83+C84)*C87)*(C91/C89)</f>
        <v>0</v>
      </c>
      <c r="D85" s="16">
        <f t="shared" ref="D85:G85" si="61">((D83+D84)*D87)*(D91/D89)</f>
        <v>0</v>
      </c>
      <c r="E85" s="16">
        <f t="shared" si="61"/>
        <v>0</v>
      </c>
      <c r="F85" s="16">
        <f>((F83+F84)*F87)*(F91/F89)</f>
        <v>194680.92875833559</v>
      </c>
      <c r="G85" s="16">
        <f t="shared" si="61"/>
        <v>0</v>
      </c>
      <c r="H85" s="16">
        <f t="shared" ref="H85" si="62">((H83+H84)*H87)*(H91/H89)</f>
        <v>0</v>
      </c>
      <c r="I85" s="245"/>
    </row>
    <row r="86" spans="1:9" ht="18" customHeight="1">
      <c r="A86" t="s">
        <v>159</v>
      </c>
      <c r="B86" t="s">
        <v>74</v>
      </c>
      <c r="C86" s="204">
        <f t="shared" ref="C86" si="63">(C82+C85)</f>
        <v>0</v>
      </c>
      <c r="D86" s="16">
        <f t="shared" ref="D86:E86" si="64">(D82+D85)</f>
        <v>0</v>
      </c>
      <c r="E86" s="16">
        <f t="shared" si="64"/>
        <v>0</v>
      </c>
      <c r="F86" s="16">
        <f>(F82+F85)</f>
        <v>2694680.9287583358</v>
      </c>
      <c r="G86" s="16">
        <f>(G82+G85)</f>
        <v>0</v>
      </c>
      <c r="H86" s="16">
        <f>(H82+H85)</f>
        <v>0</v>
      </c>
      <c r="I86" s="235"/>
    </row>
    <row r="87" spans="1:9" ht="18" customHeight="1">
      <c r="A87" t="s">
        <v>66</v>
      </c>
      <c r="C87" s="17">
        <v>1.33</v>
      </c>
      <c r="D87" s="17">
        <v>1.33</v>
      </c>
      <c r="E87" s="17">
        <v>1.33</v>
      </c>
      <c r="F87" s="17">
        <v>1.33</v>
      </c>
      <c r="G87" s="17">
        <v>1.33</v>
      </c>
      <c r="H87" s="17">
        <v>1.33</v>
      </c>
      <c r="I87" s="235"/>
    </row>
    <row r="88" spans="1:9" ht="18" customHeight="1">
      <c r="A88" t="s">
        <v>389</v>
      </c>
      <c r="C88" s="17">
        <v>229.59399999999999</v>
      </c>
      <c r="D88" s="17">
        <v>229.59399999999999</v>
      </c>
      <c r="E88" s="17">
        <v>229.59399999999999</v>
      </c>
      <c r="F88" s="17">
        <v>229.59399999999999</v>
      </c>
      <c r="G88" s="17">
        <v>229.59399999999999</v>
      </c>
      <c r="H88" s="17">
        <v>229.59399999999999</v>
      </c>
      <c r="I88" s="246"/>
    </row>
    <row r="89" spans="1:9" ht="18" customHeight="1">
      <c r="A89" t="s">
        <v>67</v>
      </c>
      <c r="C89" s="17">
        <v>218.05600000000001</v>
      </c>
      <c r="D89" s="17">
        <v>218.05600000000001</v>
      </c>
      <c r="E89" s="88">
        <v>218.05600000000001</v>
      </c>
      <c r="F89" s="88">
        <v>218.05600000000001</v>
      </c>
      <c r="G89" s="88">
        <v>218.05600000000001</v>
      </c>
      <c r="H89" s="88">
        <v>218.05600000000001</v>
      </c>
      <c r="I89" s="247"/>
    </row>
    <row r="90" spans="1:9" ht="18" customHeight="1">
      <c r="A90" t="s">
        <v>68</v>
      </c>
      <c r="C90" s="17">
        <v>224.93899999999999</v>
      </c>
      <c r="D90" s="17">
        <v>224.93899999999999</v>
      </c>
      <c r="E90" s="17">
        <v>224.93899999999999</v>
      </c>
      <c r="F90" s="17">
        <v>224.93899999999999</v>
      </c>
      <c r="G90" s="17">
        <v>224.93899999999999</v>
      </c>
      <c r="H90" s="17">
        <v>224.93899999999999</v>
      </c>
      <c r="I90" s="235"/>
    </row>
    <row r="91" spans="1:9">
      <c r="A91" t="s">
        <v>69</v>
      </c>
      <c r="C91" s="17">
        <v>255.65700000000001</v>
      </c>
      <c r="D91" s="17">
        <v>255.65700000000001</v>
      </c>
      <c r="E91" s="17">
        <v>255.65700000000001</v>
      </c>
      <c r="F91" s="17">
        <v>255.65700000000001</v>
      </c>
      <c r="G91" s="17">
        <v>255.65700000000001</v>
      </c>
      <c r="H91" s="17">
        <v>255.65700000000001</v>
      </c>
      <c r="I91" s="248"/>
    </row>
    <row r="92" spans="1:9">
      <c r="A92" t="s">
        <v>413</v>
      </c>
      <c r="C92" s="17">
        <v>195.3</v>
      </c>
      <c r="D92" s="17">
        <v>195.3</v>
      </c>
      <c r="E92" s="17">
        <v>195.3</v>
      </c>
      <c r="F92" s="17">
        <v>195.3</v>
      </c>
      <c r="G92" s="17">
        <v>195.3</v>
      </c>
      <c r="H92" s="17">
        <v>195.3</v>
      </c>
      <c r="I92" s="235"/>
    </row>
    <row r="93" spans="1:9">
      <c r="A93" t="s">
        <v>434</v>
      </c>
      <c r="C93" s="17">
        <v>184</v>
      </c>
      <c r="D93" s="17">
        <v>184</v>
      </c>
      <c r="E93" s="17">
        <v>184</v>
      </c>
      <c r="F93" s="17">
        <v>184</v>
      </c>
      <c r="G93" s="17">
        <v>184</v>
      </c>
      <c r="H93" s="17">
        <v>184</v>
      </c>
      <c r="I93" s="248"/>
    </row>
    <row r="94" spans="1:9">
      <c r="A94" s="136" t="s">
        <v>366</v>
      </c>
      <c r="B94" s="136" t="s">
        <v>367</v>
      </c>
      <c r="C94" s="208">
        <f>'Upgrading and Injection Capital'!B33</f>
        <v>31.047461191467448</v>
      </c>
      <c r="D94" s="152">
        <f>'Upgrading and Injection Capital'!C33</f>
        <v>26.796159531230817</v>
      </c>
      <c r="E94" s="152">
        <f>'Upgrading and Injection Capital'!D33</f>
        <v>20.295537843672161</v>
      </c>
      <c r="F94" s="152">
        <f>'Upgrading and Injection Capital'!E33</f>
        <v>9.5407745347896267</v>
      </c>
      <c r="G94" s="152">
        <f>'Upgrading and Injection Capital'!F33</f>
        <v>9.5407745347896284</v>
      </c>
      <c r="H94" s="152">
        <f>'Upgrading and Injection Capital'!G33</f>
        <v>14.595170100297571</v>
      </c>
      <c r="I94" s="235"/>
    </row>
    <row r="95" spans="1:9" ht="18" customHeight="1">
      <c r="A95" t="s">
        <v>362</v>
      </c>
      <c r="B95" t="s">
        <v>74</v>
      </c>
      <c r="C95" s="204">
        <f>C86+C71+C63+C61+C78</f>
        <v>1176554.3320477328</v>
      </c>
      <c r="D95" s="16">
        <f>D86+D71+D63+D61+D78</f>
        <v>1427017.2762404128</v>
      </c>
      <c r="E95" s="16">
        <f t="shared" ref="E95" si="65">E86+E71+E63+E61+E78</f>
        <v>2102111.0034612403</v>
      </c>
      <c r="F95" s="16">
        <f>F86+F71+F63+F61+F78</f>
        <v>4196791.9322195761</v>
      </c>
      <c r="G95" s="16">
        <f>G86+G71+G63+G61+G78</f>
        <v>4099956.0906481934</v>
      </c>
      <c r="H95" s="16">
        <f>H86+H71+H63+H61+H78</f>
        <v>2343018.3111234093</v>
      </c>
      <c r="I95" s="235"/>
    </row>
    <row r="96" spans="1:9" ht="18" customHeight="1">
      <c r="A96" t="s">
        <v>363</v>
      </c>
      <c r="B96" t="s">
        <v>87</v>
      </c>
      <c r="C96" s="209">
        <f>-PMT(Inputs!C24,Inputs!C25,C95)</f>
        <v>129179.34157068671</v>
      </c>
      <c r="D96" s="150">
        <f>-PMT(Inputs!D24,Inputs!D25,D95)</f>
        <v>156678.82658159517</v>
      </c>
      <c r="E96" s="150">
        <f>-PMT(Inputs!E24,Inputs!E25,E95)</f>
        <v>230800.48870488314</v>
      </c>
      <c r="F96" s="150">
        <f>-PMT(Inputs!F24,Inputs!F25,F95)</f>
        <v>460785.19514626043</v>
      </c>
      <c r="G96" s="150">
        <f>-PMT(Inputs!G24,Inputs!G25,G95)</f>
        <v>450153.14026332431</v>
      </c>
      <c r="H96" s="150">
        <f>-PMT(Inputs!H24,Inputs!H25,H95)</f>
        <v>257250.81662162041</v>
      </c>
    </row>
    <row r="97" spans="1:14" ht="18" customHeight="1">
      <c r="A97" s="1" t="s">
        <v>364</v>
      </c>
      <c r="B97" s="1" t="s">
        <v>365</v>
      </c>
      <c r="C97" s="210">
        <f t="shared" ref="C97:F97" si="66">C96/C37</f>
        <v>30.595352714677528</v>
      </c>
      <c r="D97" s="10">
        <f t="shared" si="66"/>
        <v>27.108857788522855</v>
      </c>
      <c r="E97" s="10">
        <f t="shared" si="66"/>
        <v>22.08214612617088</v>
      </c>
      <c r="F97" s="10">
        <f t="shared" si="66"/>
        <v>44.086241190790894</v>
      </c>
      <c r="G97" s="10">
        <f>G96/G37</f>
        <v>8.6138010176917916</v>
      </c>
      <c r="H97" s="10">
        <f>H96/H37</f>
        <v>12.185662777001351</v>
      </c>
    </row>
    <row r="98" spans="1:14" ht="18" customHeight="1">
      <c r="A98" s="1" t="s">
        <v>368</v>
      </c>
      <c r="B98" s="1" t="s">
        <v>365</v>
      </c>
      <c r="C98" s="210">
        <f>C97+C94</f>
        <v>61.64281390614498</v>
      </c>
      <c r="D98" s="10">
        <f>D97+D94</f>
        <v>53.905017319753668</v>
      </c>
      <c r="E98" s="10">
        <f t="shared" ref="E98:F98" si="67">E97+E94</f>
        <v>42.377683969843041</v>
      </c>
      <c r="F98" s="10">
        <f t="shared" si="67"/>
        <v>53.62701572558052</v>
      </c>
      <c r="G98" s="10">
        <f>G97+G94</f>
        <v>18.154575552481418</v>
      </c>
      <c r="H98" s="10">
        <f>H97+H94</f>
        <v>26.78083287729892</v>
      </c>
    </row>
    <row r="99" spans="1:14" ht="18" customHeight="1">
      <c r="A99" s="30" t="s">
        <v>75</v>
      </c>
      <c r="B99" s="30"/>
      <c r="C99" s="182"/>
      <c r="D99" s="35"/>
      <c r="E99" s="35"/>
      <c r="F99" s="35"/>
      <c r="G99" s="35"/>
      <c r="H99" s="35"/>
    </row>
    <row r="100" spans="1:14" ht="18" customHeight="1">
      <c r="A100" s="136" t="s">
        <v>414</v>
      </c>
      <c r="B100" s="136" t="s">
        <v>423</v>
      </c>
      <c r="C100" s="211">
        <v>0.21</v>
      </c>
      <c r="D100" s="172">
        <v>0.21</v>
      </c>
      <c r="E100" s="172">
        <v>0.21</v>
      </c>
      <c r="F100" s="172">
        <v>0.21</v>
      </c>
      <c r="G100" s="172">
        <v>0.21</v>
      </c>
      <c r="H100" s="172">
        <v>0.21</v>
      </c>
    </row>
    <row r="101" spans="1:14" ht="18" customHeight="1">
      <c r="A101" t="s">
        <v>415</v>
      </c>
      <c r="B101" t="s">
        <v>423</v>
      </c>
      <c r="C101" s="211">
        <f>C100*(C91/C92)</f>
        <v>0.27489999999999998</v>
      </c>
      <c r="D101" s="143">
        <f>D100*(D91/D92)</f>
        <v>0.27489999999999998</v>
      </c>
      <c r="E101" s="143">
        <f t="shared" ref="E101:G101" si="68">E100*(E91/E92)</f>
        <v>0.27489999999999998</v>
      </c>
      <c r="F101" s="143">
        <f t="shared" si="68"/>
        <v>0.27489999999999998</v>
      </c>
      <c r="G101" s="143">
        <f t="shared" si="68"/>
        <v>0.27489999999999998</v>
      </c>
      <c r="H101" s="143">
        <f t="shared" ref="H101" si="69">H100*(H91/H92)</f>
        <v>0.27489999999999998</v>
      </c>
      <c r="J101" s="120"/>
    </row>
    <row r="102" spans="1:14" ht="18" customHeight="1">
      <c r="A102" s="136" t="s">
        <v>416</v>
      </c>
      <c r="B102" s="136" t="s">
        <v>418</v>
      </c>
      <c r="C102" s="211">
        <v>2.2000000000000002</v>
      </c>
      <c r="D102" s="172">
        <v>2.2000000000000002</v>
      </c>
      <c r="E102" s="172">
        <v>2.2000000000000002</v>
      </c>
      <c r="F102" s="172">
        <v>2.2000000000000002</v>
      </c>
      <c r="G102" s="172">
        <v>2.2000000000000002</v>
      </c>
      <c r="H102" s="172">
        <v>2.2000000000000002</v>
      </c>
    </row>
    <row r="103" spans="1:14" ht="18" customHeight="1">
      <c r="A103" t="s">
        <v>417</v>
      </c>
      <c r="B103" t="s">
        <v>418</v>
      </c>
      <c r="C103" s="211">
        <f>C102*(C91/C92)</f>
        <v>2.8799047619047622</v>
      </c>
      <c r="D103" s="143">
        <f>D102*(D91/D92)</f>
        <v>2.8799047619047622</v>
      </c>
      <c r="E103" s="143">
        <f t="shared" ref="E103:G103" si="70">E102*(E91/E92)</f>
        <v>2.8799047619047622</v>
      </c>
      <c r="F103" s="143">
        <f t="shared" si="70"/>
        <v>2.8799047619047622</v>
      </c>
      <c r="G103" s="143">
        <f t="shared" si="70"/>
        <v>2.8799047619047622</v>
      </c>
      <c r="H103" s="143">
        <f t="shared" ref="H103" si="71">H102*(H91/H92)</f>
        <v>2.8799047619047622</v>
      </c>
      <c r="J103" s="120"/>
      <c r="K103" s="10"/>
      <c r="L103" s="10"/>
      <c r="M103" s="10"/>
      <c r="N103" s="10"/>
    </row>
    <row r="104" spans="1:14" ht="18" customHeight="1">
      <c r="A104" t="s">
        <v>462</v>
      </c>
      <c r="B104" t="s">
        <v>463</v>
      </c>
      <c r="C104" s="212">
        <f>Inputs!C27*meterpermile/kilo</f>
        <v>0</v>
      </c>
      <c r="D104" s="174">
        <f>Inputs!D27*meterpermile/kilo</f>
        <v>0</v>
      </c>
      <c r="E104" s="174">
        <f>Inputs!E27*meterpermile/kilo</f>
        <v>0</v>
      </c>
      <c r="F104" s="174">
        <f>Inputs!F27*meterpermile/kilo</f>
        <v>0</v>
      </c>
      <c r="G104" s="174">
        <f>Inputs!G27*2*meterpermile/kilo</f>
        <v>8.031699999999999</v>
      </c>
      <c r="H104" s="174">
        <f>Inputs!H27*2*meterpermile/kilo</f>
        <v>8.031699999999999</v>
      </c>
      <c r="K104" s="18"/>
      <c r="L104" s="18"/>
      <c r="M104" s="18"/>
      <c r="N104" s="18"/>
    </row>
    <row r="105" spans="1:14" ht="18" customHeight="1">
      <c r="A105" s="251" t="s">
        <v>82</v>
      </c>
      <c r="B105" s="251" t="s">
        <v>73</v>
      </c>
      <c r="C105" s="262">
        <v>0</v>
      </c>
      <c r="D105" s="262">
        <v>0</v>
      </c>
      <c r="E105" s="262">
        <v>0</v>
      </c>
      <c r="F105" s="262">
        <v>0</v>
      </c>
      <c r="G105" s="262">
        <f>(G101*G8*G104*Inputs!G21)+(Intermediates!G103*Intermediates!G8)</f>
        <v>511123.17384514282</v>
      </c>
      <c r="H105" s="262">
        <f>(H101*H8*H104*Inputs!H21)+(Intermediates!H103*Intermediates!H8)</f>
        <v>511123.17384514282</v>
      </c>
    </row>
    <row r="106" spans="1:14" ht="18" customHeight="1">
      <c r="A106" s="136" t="s">
        <v>83</v>
      </c>
      <c r="B106" s="136" t="s">
        <v>86</v>
      </c>
      <c r="C106" s="195">
        <v>190000</v>
      </c>
      <c r="D106" s="137">
        <v>190000</v>
      </c>
      <c r="E106" s="137">
        <v>190000</v>
      </c>
      <c r="F106" s="137">
        <v>190000</v>
      </c>
      <c r="G106" s="137">
        <v>190000</v>
      </c>
      <c r="H106" s="137">
        <v>190000</v>
      </c>
      <c r="K106" s="18"/>
      <c r="L106" s="18"/>
      <c r="M106" s="18"/>
      <c r="N106" s="18"/>
    </row>
    <row r="107" spans="1:14" ht="18" customHeight="1">
      <c r="A107" t="s">
        <v>83</v>
      </c>
      <c r="B107" t="s">
        <v>87</v>
      </c>
      <c r="C107" s="195">
        <f t="shared" ref="C107:G107" si="72">C106*(C91/C90)</f>
        <v>215946.67887738455</v>
      </c>
      <c r="D107" s="14">
        <f t="shared" si="72"/>
        <v>215946.67887738455</v>
      </c>
      <c r="E107" s="14">
        <f t="shared" si="72"/>
        <v>215946.67887738455</v>
      </c>
      <c r="F107" s="14">
        <f t="shared" si="72"/>
        <v>215946.67887738455</v>
      </c>
      <c r="G107" s="14">
        <f t="shared" si="72"/>
        <v>215946.67887738455</v>
      </c>
      <c r="H107" s="14">
        <f t="shared" ref="H107" si="73">H106*(H91/H90)</f>
        <v>215946.67887738455</v>
      </c>
    </row>
    <row r="108" spans="1:14" ht="18" customHeight="1">
      <c r="A108" s="136" t="s">
        <v>141</v>
      </c>
      <c r="B108" s="136" t="s">
        <v>304</v>
      </c>
      <c r="C108" s="195">
        <v>8300</v>
      </c>
      <c r="D108" s="137">
        <v>8300</v>
      </c>
      <c r="E108" s="137">
        <v>8300</v>
      </c>
      <c r="F108" s="137">
        <v>8300</v>
      </c>
      <c r="G108" s="137">
        <v>8300</v>
      </c>
      <c r="H108" s="137">
        <v>8300</v>
      </c>
    </row>
    <row r="109" spans="1:14" ht="18" customHeight="1">
      <c r="A109" s="235" t="s">
        <v>84</v>
      </c>
      <c r="B109" s="235" t="s">
        <v>284</v>
      </c>
      <c r="C109" s="238">
        <f>C107/C108/Inputs!C23</f>
        <v>7.6522565158534561E-2</v>
      </c>
      <c r="D109" s="181">
        <f>D107/D108/Inputs!D23</f>
        <v>7.6522565158534561E-2</v>
      </c>
      <c r="E109" s="181">
        <f>E107/E108/Inputs!E23</f>
        <v>7.6522565158534561E-2</v>
      </c>
      <c r="F109" s="181">
        <f>F107/F108/Inputs!F23</f>
        <v>7.6522565158534561E-2</v>
      </c>
      <c r="G109" s="181">
        <f>G107/G108/Inputs!G23</f>
        <v>7.6522565158534561E-2</v>
      </c>
      <c r="H109" s="181">
        <f>H107/H108/Inputs!H23</f>
        <v>7.6522565158534561E-2</v>
      </c>
    </row>
    <row r="110" spans="1:14" ht="18" customHeight="1">
      <c r="A110" s="259" t="s">
        <v>84</v>
      </c>
      <c r="B110" s="259" t="s">
        <v>85</v>
      </c>
      <c r="C110" s="261">
        <f t="shared" ref="C110:G110" si="74">C109*C36</f>
        <v>14752.01919533637</v>
      </c>
      <c r="D110" s="261">
        <f t="shared" si="74"/>
        <v>20193.563179138899</v>
      </c>
      <c r="E110" s="261">
        <f t="shared" si="74"/>
        <v>36518.197104041436</v>
      </c>
      <c r="F110" s="261">
        <f t="shared" si="74"/>
        <v>36518.197104041436</v>
      </c>
      <c r="G110" s="261">
        <f t="shared" si="74"/>
        <v>182590.98552020715</v>
      </c>
      <c r="H110" s="261">
        <f t="shared" ref="H110" si="75">H109*H36</f>
        <v>73760.098907644744</v>
      </c>
      <c r="J110" s="34"/>
    </row>
    <row r="111" spans="1:14" ht="18" customHeight="1">
      <c r="A111" s="136" t="s">
        <v>545</v>
      </c>
      <c r="B111" s="136" t="s">
        <v>88</v>
      </c>
      <c r="C111" s="183">
        <v>0.1</v>
      </c>
      <c r="D111" s="142">
        <v>0.1</v>
      </c>
      <c r="E111" s="142">
        <v>0.1</v>
      </c>
      <c r="F111" s="142">
        <v>0.1</v>
      </c>
      <c r="G111" s="142">
        <v>0.1</v>
      </c>
      <c r="H111" s="142">
        <v>0.1</v>
      </c>
    </row>
    <row r="112" spans="1:14" ht="18" customHeight="1">
      <c r="A112" s="259" t="s">
        <v>546</v>
      </c>
      <c r="B112" s="259" t="s">
        <v>73</v>
      </c>
      <c r="C112" s="265">
        <f>C111*C98*C37</f>
        <v>26026.757028168187</v>
      </c>
      <c r="D112" s="265">
        <f>D111*D97*D37</f>
        <v>15667.882658159517</v>
      </c>
      <c r="E112" s="265">
        <f>E111*E97*E37</f>
        <v>23080.048870488314</v>
      </c>
      <c r="F112" s="265">
        <f>F111*F97*F37</f>
        <v>46078.519514626045</v>
      </c>
      <c r="G112" s="265">
        <f>G111*G97*G37</f>
        <v>45015.314026332439</v>
      </c>
      <c r="H112" s="265">
        <f>H111*H97*H37</f>
        <v>25725.08166216204</v>
      </c>
    </row>
    <row r="113" spans="1:10" s="252" customFormat="1" ht="18" customHeight="1">
      <c r="A113" s="249" t="s">
        <v>554</v>
      </c>
      <c r="B113" s="249" t="s">
        <v>547</v>
      </c>
      <c r="C113" s="256"/>
      <c r="D113" s="256">
        <v>1200</v>
      </c>
      <c r="E113" s="256">
        <v>1200</v>
      </c>
      <c r="F113" s="256">
        <v>1200</v>
      </c>
      <c r="G113" s="256">
        <v>1200</v>
      </c>
      <c r="H113" s="256">
        <v>1200</v>
      </c>
      <c r="J113" s="257"/>
    </row>
    <row r="114" spans="1:10" s="252" customFormat="1" ht="18" customHeight="1">
      <c r="A114" s="250" t="s">
        <v>552</v>
      </c>
      <c r="B114" s="252" t="s">
        <v>548</v>
      </c>
      <c r="C114" s="253"/>
      <c r="D114" s="254">
        <f>(D31/Inputs!D8/'Unit Conversions'!$B$10/minperhr)*cftom3</f>
        <v>11.774711799529426</v>
      </c>
      <c r="E114" s="254">
        <f>(E31/Inputs!E8/'Unit Conversions'!$B$10/minperhr)*cftom3</f>
        <v>21.293479780546456</v>
      </c>
      <c r="F114" s="254">
        <f>(F31/Inputs!F8/'Unit Conversions'!$B$10/minperhr)*cftom3</f>
        <v>21.293479780546456</v>
      </c>
      <c r="G114" s="254">
        <f>(G31/Inputs!G8/'Unit Conversions'!$B$10/minperhr)*cftom3</f>
        <v>106.46739890273227</v>
      </c>
      <c r="H114" s="254">
        <f>(H31/Inputs!H8/'Unit Conversions'!$B$10/minperhr)*cftom3</f>
        <v>43.00894620362358</v>
      </c>
      <c r="J114" s="258"/>
    </row>
    <row r="115" spans="1:10" s="252" customFormat="1" ht="18" customHeight="1">
      <c r="A115" s="259" t="s">
        <v>553</v>
      </c>
      <c r="B115" s="259" t="s">
        <v>85</v>
      </c>
      <c r="C115" s="260"/>
      <c r="D115" s="260">
        <f>D114*D113</f>
        <v>14129.654159435311</v>
      </c>
      <c r="E115" s="260">
        <f t="shared" ref="E115:G115" si="76">E114*E113</f>
        <v>25552.175736655747</v>
      </c>
      <c r="F115" s="260">
        <f t="shared" si="76"/>
        <v>25552.175736655747</v>
      </c>
      <c r="G115" s="260">
        <f t="shared" si="76"/>
        <v>127760.87868327873</v>
      </c>
      <c r="H115" s="260">
        <f t="shared" ref="H115" si="77">H114*H113</f>
        <v>51610.735444348298</v>
      </c>
    </row>
    <row r="116" spans="1:10" ht="20.25" customHeight="1">
      <c r="A116" s="259" t="s">
        <v>90</v>
      </c>
      <c r="B116" s="259" t="s">
        <v>73</v>
      </c>
      <c r="C116" s="260">
        <f>C49*Inputs!C23/kilo*Inputs!C29</f>
        <v>1912.7526265275606</v>
      </c>
      <c r="D116" s="260">
        <f>D49*Inputs!D23/kilo*Inputs!D29</f>
        <v>3228.622921490718</v>
      </c>
      <c r="E116" s="260">
        <f>E49*Inputs!E23/kilo*Inputs!E29</f>
        <v>7176.2338463297328</v>
      </c>
      <c r="F116" s="260">
        <f>F49*Inputs!F23/kilo*Inputs!F29</f>
        <v>7176.2338463297328</v>
      </c>
      <c r="G116" s="260">
        <f>G49*Inputs!G23/kilo*Inputs!G29</f>
        <v>35881.169231648659</v>
      </c>
      <c r="H116" s="260">
        <f>H49*Inputs!H23/kilo*Inputs!H29</f>
        <v>9563.7628012332389</v>
      </c>
    </row>
    <row r="117" spans="1:10" ht="18" customHeight="1">
      <c r="A117" t="s">
        <v>154</v>
      </c>
      <c r="B117" t="s">
        <v>155</v>
      </c>
      <c r="C117" s="195">
        <f>C36*Inputs!C35</f>
        <v>238083.2879755836</v>
      </c>
      <c r="D117" s="14">
        <f>D36*Inputs!D35</f>
        <v>325904.53238780802</v>
      </c>
      <c r="E117" s="14">
        <f>E36*Inputs!E35</f>
        <v>589368.29064807133</v>
      </c>
      <c r="F117" s="14">
        <f>F36*Inputs!F35</f>
        <v>589368.29064807133</v>
      </c>
      <c r="G117" s="14">
        <f>G36*Inputs!G35</f>
        <v>2946841.4532403564</v>
      </c>
      <c r="H117" s="14">
        <f>H36*Inputs!H35</f>
        <v>1190416.4871808176</v>
      </c>
    </row>
    <row r="118" spans="1:10" ht="18" customHeight="1">
      <c r="A118" s="136" t="s">
        <v>454</v>
      </c>
      <c r="B118" s="136" t="s">
        <v>455</v>
      </c>
      <c r="C118" s="194">
        <v>0.53</v>
      </c>
      <c r="D118" s="141">
        <v>0.53</v>
      </c>
      <c r="E118" s="141">
        <v>0.53</v>
      </c>
      <c r="F118" s="141">
        <v>0.53</v>
      </c>
      <c r="G118" s="141">
        <v>0.53</v>
      </c>
      <c r="H118" s="141">
        <v>0.53</v>
      </c>
    </row>
    <row r="119" spans="1:10" ht="18" customHeight="1">
      <c r="A119" t="s">
        <v>456</v>
      </c>
      <c r="B119" t="s">
        <v>457</v>
      </c>
      <c r="C119" s="195">
        <f t="shared" ref="C119:H119" si="78">C118*C8</f>
        <v>3892.3200000000006</v>
      </c>
      <c r="D119" s="14">
        <f t="shared" si="78"/>
        <v>3892.3200000000006</v>
      </c>
      <c r="E119" s="14">
        <f t="shared" si="78"/>
        <v>3892.3200000000006</v>
      </c>
      <c r="F119" s="14">
        <f t="shared" si="78"/>
        <v>3892.3200000000006</v>
      </c>
      <c r="G119" s="14">
        <f t="shared" si="78"/>
        <v>19461.600000000002</v>
      </c>
      <c r="H119" s="14">
        <f t="shared" si="78"/>
        <v>19461.600000000002</v>
      </c>
    </row>
    <row r="120" spans="1:10" s="1" customFormat="1" ht="18" customHeight="1">
      <c r="A120" s="259" t="s">
        <v>156</v>
      </c>
      <c r="B120" s="259" t="s">
        <v>73</v>
      </c>
      <c r="C120" s="260">
        <f>(((C117/kilo)*kwhpergj)*Inputs!C36)+C119*Inputs!C36</f>
        <v>4789.820778402066</v>
      </c>
      <c r="D120" s="260">
        <f>(((D117/kilo)*kwhpergj)*Inputs!D36)+D119*Inputs!D36</f>
        <v>6458.4257571172466</v>
      </c>
      <c r="E120" s="260">
        <f>(((E117/kilo)*kwhpergj)*Inputs!E36)+E119*Inputs!E36</f>
        <v>11464.241168711376</v>
      </c>
      <c r="F120" s="260">
        <f>(((F117/kilo)*kwhpergj)*Inputs!F36)+F119*Inputs!F36</f>
        <v>11464.241168711376</v>
      </c>
      <c r="G120" s="260">
        <f>(((G117/kilo)*kwhpergj)*Inputs!G36)+G119*Inputs!G36</f>
        <v>57321.205843556862</v>
      </c>
      <c r="H120" s="260">
        <f>(((H117/kilo)*kwhpergj)*Inputs!H36)+H119*Inputs!H36</f>
        <v>23949.104790766141</v>
      </c>
    </row>
    <row r="121" spans="1:10" ht="18" customHeight="1">
      <c r="A121" s="252" t="s">
        <v>428</v>
      </c>
      <c r="B121" s="252" t="s">
        <v>193</v>
      </c>
      <c r="C121" s="263">
        <f t="shared" ref="C121:G121" si="79">C5*literperm3/literpgal</f>
        <v>1940080.4668450712</v>
      </c>
      <c r="D121" s="264">
        <f t="shared" si="79"/>
        <v>1940080.4668450712</v>
      </c>
      <c r="E121" s="264">
        <f t="shared" si="79"/>
        <v>1940080.4668450712</v>
      </c>
      <c r="F121" s="264">
        <f t="shared" si="79"/>
        <v>1940080.4668450712</v>
      </c>
      <c r="G121" s="264">
        <f t="shared" si="79"/>
        <v>9700402.3342253547</v>
      </c>
      <c r="H121" s="264">
        <f t="shared" ref="H121" si="80">H5*literperm3/literpgal</f>
        <v>9700402.3342253547</v>
      </c>
    </row>
    <row r="122" spans="1:10" s="1" customFormat="1" ht="18" customHeight="1">
      <c r="A122" s="136" t="s">
        <v>465</v>
      </c>
      <c r="B122" s="173"/>
      <c r="C122" s="213">
        <v>0.95</v>
      </c>
      <c r="D122" s="177">
        <v>0.95</v>
      </c>
      <c r="E122" s="177">
        <v>0.95</v>
      </c>
      <c r="F122" s="177">
        <v>0.95</v>
      </c>
      <c r="G122" s="177">
        <v>0.95</v>
      </c>
      <c r="H122" s="177">
        <v>0.95</v>
      </c>
      <c r="I122" s="267"/>
    </row>
    <row r="123" spans="1:10" s="1" customFormat="1" ht="18" customHeight="1">
      <c r="A123" s="252" t="s">
        <v>464</v>
      </c>
      <c r="B123" s="252" t="s">
        <v>73</v>
      </c>
      <c r="C123" s="255">
        <f>C121*Inputs!C10*Inputs!C30*C122</f>
        <v>41469.219978813402</v>
      </c>
      <c r="D123" s="253">
        <f>D121*Inputs!D10*Inputs!D30*D122</f>
        <v>44279.911555155188</v>
      </c>
      <c r="E123" s="253">
        <f>E121*Inputs!E10*Inputs!E30*E122</f>
        <v>44279.911555155188</v>
      </c>
      <c r="F123" s="253">
        <f>F121*Inputs!F10*Inputs!F30*F122</f>
        <v>44279.911555155188</v>
      </c>
      <c r="G123" s="253">
        <f>G121*Inputs!G10*Inputs!G30*G122</f>
        <v>221399.55777577593</v>
      </c>
      <c r="H123" s="253">
        <f>H121*Inputs!H10*Inputs!H30*H122</f>
        <v>207346.09989406695</v>
      </c>
      <c r="I123" s="266"/>
    </row>
    <row r="124" spans="1:10" ht="18" customHeight="1">
      <c r="A124" s="30" t="s">
        <v>98</v>
      </c>
      <c r="B124" s="31"/>
      <c r="C124" s="185"/>
      <c r="D124" s="33"/>
      <c r="E124" s="33"/>
      <c r="F124" s="31"/>
      <c r="G124" s="31"/>
      <c r="H124" s="31"/>
      <c r="I124" s="34"/>
    </row>
    <row r="125" spans="1:10" ht="18" customHeight="1">
      <c r="A125" s="136" t="s">
        <v>466</v>
      </c>
      <c r="B125" s="136" t="s">
        <v>467</v>
      </c>
      <c r="C125" s="185">
        <v>12</v>
      </c>
      <c r="D125" s="140">
        <v>12</v>
      </c>
      <c r="E125" s="140">
        <v>12</v>
      </c>
      <c r="F125" s="140">
        <v>12</v>
      </c>
      <c r="G125" s="140">
        <v>12</v>
      </c>
      <c r="H125" s="140">
        <v>12</v>
      </c>
      <c r="I125" s="34"/>
    </row>
    <row r="126" spans="1:10" ht="18" customHeight="1">
      <c r="A126" t="s">
        <v>466</v>
      </c>
      <c r="B126" t="s">
        <v>472</v>
      </c>
      <c r="C126" s="185">
        <f t="shared" ref="C126:G126" si="81">(C125/lbsperton)</f>
        <v>6.0000000000000001E-3</v>
      </c>
      <c r="D126" s="17">
        <f t="shared" si="81"/>
        <v>6.0000000000000001E-3</v>
      </c>
      <c r="E126" s="17">
        <f t="shared" si="81"/>
        <v>6.0000000000000001E-3</v>
      </c>
      <c r="F126" s="17">
        <f t="shared" si="81"/>
        <v>6.0000000000000001E-3</v>
      </c>
      <c r="G126" s="17">
        <f t="shared" si="81"/>
        <v>6.0000000000000001E-3</v>
      </c>
      <c r="H126" s="17">
        <f t="shared" ref="H126" si="82">(H125/lbsperton)</f>
        <v>6.0000000000000001E-3</v>
      </c>
    </row>
    <row r="127" spans="1:10" ht="18" customHeight="1">
      <c r="A127" t="s">
        <v>466</v>
      </c>
      <c r="B127" t="s">
        <v>473</v>
      </c>
      <c r="C127" s="186">
        <f t="shared" ref="C127:G127" si="83">(C126/lbsperkg)*lbsperkg*1000</f>
        <v>6</v>
      </c>
      <c r="D127" s="88">
        <f t="shared" si="83"/>
        <v>6</v>
      </c>
      <c r="E127" s="88">
        <f t="shared" si="83"/>
        <v>6</v>
      </c>
      <c r="F127" s="88">
        <f t="shared" si="83"/>
        <v>6</v>
      </c>
      <c r="G127" s="88">
        <f t="shared" si="83"/>
        <v>6</v>
      </c>
      <c r="H127" s="88">
        <f t="shared" ref="H127" si="84">(H126/lbsperkg)*lbsperkg*1000</f>
        <v>6</v>
      </c>
    </row>
    <row r="128" spans="1:10" ht="18" customHeight="1">
      <c r="A128" t="s">
        <v>474</v>
      </c>
      <c r="B128" t="s">
        <v>475</v>
      </c>
      <c r="C128" s="189">
        <f t="shared" ref="C128:H128" si="85">C127*C18</f>
        <v>0</v>
      </c>
      <c r="D128" s="95">
        <f t="shared" si="85"/>
        <v>2251.0344329581485</v>
      </c>
      <c r="E128" s="95">
        <f t="shared" si="85"/>
        <v>9004.1379639349234</v>
      </c>
      <c r="F128" s="95">
        <f t="shared" si="85"/>
        <v>9004.1379639349234</v>
      </c>
      <c r="G128" s="95">
        <f t="shared" si="85"/>
        <v>45020.689819674626</v>
      </c>
      <c r="H128" s="95">
        <f t="shared" si="85"/>
        <v>0</v>
      </c>
    </row>
    <row r="129" spans="1:8" ht="18" customHeight="1">
      <c r="A129" s="136" t="s">
        <v>476</v>
      </c>
      <c r="B129" s="173"/>
      <c r="C129" s="183">
        <v>0.5</v>
      </c>
      <c r="D129" s="142">
        <v>0.5</v>
      </c>
      <c r="E129" s="142">
        <v>0.5</v>
      </c>
      <c r="F129" s="142">
        <v>0.5</v>
      </c>
      <c r="G129" s="142">
        <v>0.5</v>
      </c>
      <c r="H129" s="142">
        <v>0.5</v>
      </c>
    </row>
    <row r="130" spans="1:8" ht="18" customHeight="1">
      <c r="A130" t="s">
        <v>477</v>
      </c>
      <c r="B130" t="s">
        <v>475</v>
      </c>
      <c r="C130" s="189">
        <f>C121*Inputs!C10/lbsperkg</f>
        <v>44000.337174775508</v>
      </c>
      <c r="D130" s="95">
        <f>D121*Inputs!D10/lbsperkg</f>
        <v>44000.337174775508</v>
      </c>
      <c r="E130" s="95">
        <f>E121*Inputs!E10/lbsperkg</f>
        <v>44000.337174775508</v>
      </c>
      <c r="F130" s="95">
        <f>F121*Inputs!F10/lbsperkg</f>
        <v>44000.337174775508</v>
      </c>
      <c r="G130" s="95">
        <f>G121*Inputs!G10/lbsperkg</f>
        <v>220001.68587387749</v>
      </c>
      <c r="H130" s="95">
        <f>H121*Inputs!H10/lbsperkg</f>
        <v>220001.68587387749</v>
      </c>
    </row>
    <row r="131" spans="1:8" ht="18" customHeight="1">
      <c r="A131" t="s">
        <v>481</v>
      </c>
      <c r="C131" s="214">
        <f>C128/(C130+C128)</f>
        <v>0</v>
      </c>
      <c r="D131" s="144">
        <f>D128/(D130+D128)</f>
        <v>4.8669571403191746E-2</v>
      </c>
      <c r="E131" s="144">
        <f t="shared" ref="E131:G131" si="86">E128/(E130+E128)</f>
        <v>0.16987505187762886</v>
      </c>
      <c r="F131" s="144">
        <f t="shared" si="86"/>
        <v>0.16987505187762886</v>
      </c>
      <c r="G131" s="144">
        <f t="shared" si="86"/>
        <v>0.16987505187762891</v>
      </c>
      <c r="H131" s="144">
        <f t="shared" ref="H131" si="87">H128/(H130+H128)</f>
        <v>0</v>
      </c>
    </row>
    <row r="132" spans="1:8" ht="18" customHeight="1">
      <c r="A132" t="s">
        <v>482</v>
      </c>
      <c r="C132" s="214">
        <f>C130/(C130+C128)</f>
        <v>1</v>
      </c>
      <c r="D132" s="144">
        <f>D130/(D130+D128)</f>
        <v>0.95133042859680828</v>
      </c>
      <c r="E132" s="144">
        <f t="shared" ref="E132:G132" si="88">E130/(E130+E128)</f>
        <v>0.83012494812237114</v>
      </c>
      <c r="F132" s="144">
        <f t="shared" si="88"/>
        <v>0.83012494812237114</v>
      </c>
      <c r="G132" s="144">
        <f t="shared" si="88"/>
        <v>0.83012494812237103</v>
      </c>
      <c r="H132" s="144">
        <f t="shared" ref="H132" si="89">H130/(H130+H128)</f>
        <v>1</v>
      </c>
    </row>
    <row r="133" spans="1:8" ht="18" customHeight="1">
      <c r="A133" t="s">
        <v>484</v>
      </c>
      <c r="B133" t="s">
        <v>479</v>
      </c>
      <c r="C133" s="183">
        <f t="shared" ref="C133:G133" si="90">C132*C122+C131*C129</f>
        <v>0.95</v>
      </c>
      <c r="D133" s="115">
        <f t="shared" si="90"/>
        <v>0.92809869286856372</v>
      </c>
      <c r="E133" s="115">
        <f t="shared" si="90"/>
        <v>0.87355622665506694</v>
      </c>
      <c r="F133" s="115">
        <f t="shared" si="90"/>
        <v>0.87355622665506694</v>
      </c>
      <c r="G133" s="115">
        <f t="shared" si="90"/>
        <v>0.87355622665506683</v>
      </c>
      <c r="H133" s="115">
        <f t="shared" ref="H133" si="91">H132*H122+H131*H129</f>
        <v>0.95</v>
      </c>
    </row>
    <row r="134" spans="1:8" ht="18" customHeight="1">
      <c r="A134" t="s">
        <v>483</v>
      </c>
      <c r="C134" s="215">
        <f>C133*(C130+C128)</f>
        <v>41800.320316036734</v>
      </c>
      <c r="D134" s="89">
        <f>D133*(D130+D128)</f>
        <v>42925.837532515805</v>
      </c>
      <c r="E134" s="89">
        <f t="shared" ref="E134:G134" si="92">E133*(E130+E128)</f>
        <v>46302.389298004193</v>
      </c>
      <c r="F134" s="89">
        <f t="shared" si="92"/>
        <v>46302.389298004193</v>
      </c>
      <c r="G134" s="89">
        <f t="shared" si="92"/>
        <v>231511.9464900209</v>
      </c>
      <c r="H134" s="89">
        <f t="shared" ref="H134" si="93">H133*(H130+H128)</f>
        <v>209001.6015801836</v>
      </c>
    </row>
    <row r="135" spans="1:8" ht="18" customHeight="1">
      <c r="A135" t="s">
        <v>478</v>
      </c>
      <c r="B135" t="s">
        <v>479</v>
      </c>
      <c r="C135" s="216">
        <f t="shared" ref="C135:G135" si="94">((C130/(C128+C130))*C122)+(C129*(C128/(C130+C128)))</f>
        <v>0.95</v>
      </c>
      <c r="D135" s="176">
        <f t="shared" si="94"/>
        <v>0.92809869286856372</v>
      </c>
      <c r="E135" s="176">
        <f t="shared" si="94"/>
        <v>0.87355622665506694</v>
      </c>
      <c r="F135" s="176">
        <f t="shared" si="94"/>
        <v>0.87355622665506694</v>
      </c>
      <c r="G135" s="176">
        <f t="shared" si="94"/>
        <v>0.87355622665506683</v>
      </c>
      <c r="H135" s="176">
        <f t="shared" ref="H135" si="95">((H130/(H128+H130))*H122)+(H129*(H128/(H130+H128)))</f>
        <v>0.95</v>
      </c>
    </row>
    <row r="136" spans="1:8" ht="18" customHeight="1">
      <c r="A136" s="1" t="s">
        <v>480</v>
      </c>
      <c r="B136" s="1"/>
      <c r="C136" s="191">
        <f>(C134*(lbsperkg))*Inputs!C30</f>
        <v>41469.219978813409</v>
      </c>
      <c r="D136" s="107">
        <f>(D134*(lbsperkg))*Inputs!D30</f>
        <v>45472.194351619262</v>
      </c>
      <c r="E136" s="107">
        <f>(E134*(lbsperkg))*Inputs!E30</f>
        <v>49049.042863946757</v>
      </c>
      <c r="F136" s="107">
        <f>(F134*(lbsperkg))*Inputs!F30</f>
        <v>49049.042863946757</v>
      </c>
      <c r="G136" s="107">
        <f>(G134*(lbsperkg))*Inputs!G30</f>
        <v>245245.2143197337</v>
      </c>
      <c r="H136" s="107">
        <f>(H134*(lbsperkg))*Inputs!H30</f>
        <v>207346.09989406695</v>
      </c>
    </row>
    <row r="137" spans="1:8" ht="18" customHeight="1">
      <c r="A137" t="s">
        <v>162</v>
      </c>
      <c r="B137" t="s">
        <v>110</v>
      </c>
      <c r="C137" s="217">
        <f>Inputs!C31/(btuperrin/btupgj)</f>
        <v>23.633881433766234</v>
      </c>
      <c r="D137" s="27">
        <f>Inputs!D31/(btuperrin/btupgj)</f>
        <v>23.633881433766234</v>
      </c>
      <c r="E137" s="27">
        <f>Inputs!E31/(btuperrin/btupgj)</f>
        <v>23.633881433766234</v>
      </c>
      <c r="F137" s="27">
        <f>Inputs!F31/(btuperrin/btupgj)</f>
        <v>23.633881433766234</v>
      </c>
      <c r="G137" s="27">
        <f>Inputs!G31/(btuperrin/btupgj)</f>
        <v>23.633881433766234</v>
      </c>
      <c r="H137" s="27">
        <f>Inputs!H31/(btuperrin/btupgj)</f>
        <v>23.633881433766234</v>
      </c>
    </row>
    <row r="138" spans="1:8" ht="18" customHeight="1">
      <c r="A138" t="s">
        <v>199</v>
      </c>
      <c r="B138" s="1" t="s">
        <v>73</v>
      </c>
      <c r="C138" s="218">
        <f t="shared" ref="C138:G138" si="96">C38*million/btuperrin</f>
        <v>51972.23889627173</v>
      </c>
      <c r="D138" s="96">
        <f t="shared" si="96"/>
        <v>71143.121210481389</v>
      </c>
      <c r="E138" s="96">
        <f t="shared" si="96"/>
        <v>128655.76999352913</v>
      </c>
      <c r="F138" s="96">
        <f t="shared" si="96"/>
        <v>128655.76999352913</v>
      </c>
      <c r="G138" s="96">
        <f t="shared" si="96"/>
        <v>643278.8499676456</v>
      </c>
      <c r="H138" s="96">
        <f t="shared" ref="H138" si="97">H38*million/btuperrin</f>
        <v>259861.19448135878</v>
      </c>
    </row>
    <row r="139" spans="1:8" ht="18" customHeight="1">
      <c r="A139" s="1" t="s">
        <v>163</v>
      </c>
      <c r="B139" s="1" t="s">
        <v>73</v>
      </c>
      <c r="C139" s="205">
        <f>-C138*Inputs!C31</f>
        <v>-99786.698680841713</v>
      </c>
      <c r="D139" s="9">
        <f>-D138*Inputs!D31</f>
        <v>-136594.79272412427</v>
      </c>
      <c r="E139" s="9">
        <f>-E138*Inputs!E31</f>
        <v>-247019.07838757592</v>
      </c>
      <c r="F139" s="9">
        <f>-F138*Inputs!F31</f>
        <v>-247019.07838757592</v>
      </c>
      <c r="G139" s="9">
        <f>-G138*Inputs!G31</f>
        <v>-1235095.3919378796</v>
      </c>
      <c r="H139" s="9">
        <f>-H138*Inputs!H31</f>
        <v>-498933.49340420886</v>
      </c>
    </row>
    <row r="140" spans="1:8" ht="18" customHeight="1">
      <c r="A140" s="136" t="s">
        <v>490</v>
      </c>
      <c r="B140" s="173" t="s">
        <v>409</v>
      </c>
      <c r="C140" s="186">
        <v>80.36</v>
      </c>
      <c r="D140" s="138">
        <v>80.36</v>
      </c>
      <c r="E140" s="138">
        <v>80.36</v>
      </c>
      <c r="F140" s="138">
        <v>80.36</v>
      </c>
      <c r="G140" s="138">
        <v>80.36</v>
      </c>
      <c r="H140" s="138">
        <v>80.36</v>
      </c>
    </row>
    <row r="141" spans="1:8" ht="18" customHeight="1">
      <c r="A141" t="s">
        <v>408</v>
      </c>
      <c r="B141" t="s">
        <v>405</v>
      </c>
      <c r="C141" s="186">
        <f>(C140-Inputs!C33)*C27</f>
        <v>2309.0172512961399</v>
      </c>
      <c r="D141" s="88">
        <f>(D140-Inputs!D33)*D27</f>
        <v>2309.0172512961399</v>
      </c>
      <c r="E141" s="88">
        <f>(E140-Inputs!E33)*E27</f>
        <v>2309.0173029066987</v>
      </c>
      <c r="F141" s="88">
        <f>(F140-Inputs!F33)*F27</f>
        <v>2309.0173029066987</v>
      </c>
      <c r="G141" s="88">
        <f>(G140-Inputs!G33)*G27</f>
        <v>11545.086514533494</v>
      </c>
      <c r="H141" s="88">
        <f>(H140-Inputs!H33)*H27</f>
        <v>11545.086256480699</v>
      </c>
    </row>
    <row r="142" spans="1:8" ht="18" customHeight="1">
      <c r="A142" t="s">
        <v>404</v>
      </c>
      <c r="B142" t="s">
        <v>405</v>
      </c>
      <c r="C142" s="186">
        <f>C28*(C140-Inputs!C34)</f>
        <v>0</v>
      </c>
      <c r="D142" s="88">
        <f>D28*(D140-Inputs!D34)</f>
        <v>313.37475214556036</v>
      </c>
      <c r="E142" s="88">
        <f>E28*(E140-Inputs!E34)</f>
        <v>1253.4990196773331</v>
      </c>
      <c r="F142" s="88">
        <f>F28*(F140-Inputs!F34)</f>
        <v>1253.4990196773331</v>
      </c>
      <c r="G142" s="88">
        <f>G28*(G140-Inputs!G34)</f>
        <v>6267.4950983866656</v>
      </c>
      <c r="H142" s="88">
        <f>H28*(H140-Inputs!H34)</f>
        <v>0</v>
      </c>
    </row>
    <row r="143" spans="1:8" ht="18" customHeight="1">
      <c r="A143" t="s">
        <v>406</v>
      </c>
      <c r="B143" t="s">
        <v>407</v>
      </c>
      <c r="C143" s="186">
        <f>((C142+C141)/kilo)*Inputs!C23</f>
        <v>785.0658654406875</v>
      </c>
      <c r="D143" s="88">
        <f>((D142+D141)/kilo)*Inputs!D23</f>
        <v>891.61328117017808</v>
      </c>
      <c r="E143" s="88">
        <f>((E142+E141)/kilo)*Inputs!E23</f>
        <v>1211.2555496785708</v>
      </c>
      <c r="F143" s="88">
        <f>((F142+F141)/kilo)*Inputs!F23</f>
        <v>1211.2555496785708</v>
      </c>
      <c r="G143" s="88">
        <f>((G142+G141)/kilo)*Inputs!G23</f>
        <v>6056.2777483928539</v>
      </c>
      <c r="H143" s="88">
        <f>((H142+H141)/kilo)*Inputs!H23</f>
        <v>3925.329327203438</v>
      </c>
    </row>
    <row r="144" spans="1:8" ht="18" customHeight="1">
      <c r="A144" s="1" t="s">
        <v>410</v>
      </c>
      <c r="B144" s="1" t="s">
        <v>85</v>
      </c>
      <c r="C144" s="205">
        <f>-C143*Inputs!C32</f>
        <v>-106965.22416629367</v>
      </c>
      <c r="D144" s="9">
        <f>-D143*Inputs!D32</f>
        <v>-121482.30955943676</v>
      </c>
      <c r="E144" s="9">
        <f>-E143*Inputs!E32</f>
        <v>-165033.56864370528</v>
      </c>
      <c r="F144" s="9">
        <f>-F143*Inputs!F32</f>
        <v>-165033.56864370528</v>
      </c>
      <c r="G144" s="9">
        <f>-G143*Inputs!G32</f>
        <v>-825167.84321852634</v>
      </c>
      <c r="H144" s="9">
        <f>-H143*Inputs!H32</f>
        <v>-534826.12083146838</v>
      </c>
    </row>
    <row r="145" spans="1:8" ht="18" customHeight="1">
      <c r="A145" s="30" t="s">
        <v>108</v>
      </c>
      <c r="B145" s="31"/>
      <c r="C145" s="185"/>
      <c r="D145" s="33"/>
      <c r="E145" s="33"/>
      <c r="F145" s="31"/>
      <c r="G145" s="31"/>
      <c r="H145" s="31"/>
    </row>
    <row r="146" spans="1:8" ht="18" customHeight="1">
      <c r="A146" t="s">
        <v>109</v>
      </c>
      <c r="B146" t="s">
        <v>284</v>
      </c>
      <c r="C146" s="191">
        <f>Inputs!C37/kilo/m3pft3</f>
        <v>0.13808057407616681</v>
      </c>
      <c r="D146" s="8">
        <f>Inputs!D37/kilo/m3pft3</f>
        <v>0.13808057407616681</v>
      </c>
      <c r="E146" s="8">
        <f>Inputs!E37/kilo/m3pft3</f>
        <v>0.13808057407616681</v>
      </c>
      <c r="F146" s="8">
        <f>Inputs!F37/kilo/m3pft3</f>
        <v>0.13808057407616681</v>
      </c>
      <c r="G146" s="8">
        <f>Inputs!G37/kilo/m3pft3</f>
        <v>0.13808057407616681</v>
      </c>
      <c r="H146" s="8">
        <f>Inputs!H37/kilo/m3pft3</f>
        <v>0.13808057407616681</v>
      </c>
    </row>
    <row r="147" spans="1:8" ht="18" customHeight="1">
      <c r="A147" s="1" t="s">
        <v>113</v>
      </c>
      <c r="B147" s="1" t="s">
        <v>110</v>
      </c>
      <c r="C147" s="219">
        <f>C146/('Unit Conversions'!$B$24/btupgj/m3pft3)</f>
        <v>3.4732567377694474</v>
      </c>
      <c r="D147" s="77">
        <f>D146/('Unit Conversions'!$B$24/btupgj/m3pft3)</f>
        <v>3.4732567377694474</v>
      </c>
      <c r="E147" s="77">
        <f>E146/('Unit Conversions'!$B$24/btupgj/m3pft3)</f>
        <v>3.4732567377694474</v>
      </c>
      <c r="F147" s="77">
        <f>F146/('Unit Conversions'!$B$24/btupgj/m3pft3)</f>
        <v>3.4732567377694474</v>
      </c>
      <c r="G147" s="77">
        <f>G146/('Unit Conversions'!$B$24/btupgj/m3pft3)</f>
        <v>3.4732567377694474</v>
      </c>
      <c r="H147" s="77">
        <f>H146/('Unit Conversions'!$B$24/btupgj/m3pft3)</f>
        <v>3.4732567377694474</v>
      </c>
    </row>
    <row r="148" spans="1:8" ht="18" customHeight="1">
      <c r="A148" s="1" t="s">
        <v>330</v>
      </c>
      <c r="B148" s="1" t="s">
        <v>313</v>
      </c>
      <c r="C148" s="185">
        <f t="shared" ref="C148:G148" si="98">C13*365</f>
        <v>0</v>
      </c>
      <c r="D148" s="17">
        <f t="shared" si="98"/>
        <v>0</v>
      </c>
      <c r="E148" s="17">
        <f t="shared" si="98"/>
        <v>7884.0000000000009</v>
      </c>
      <c r="F148" s="17">
        <f t="shared" si="98"/>
        <v>7884.0000000000009</v>
      </c>
      <c r="G148" s="17">
        <f t="shared" si="98"/>
        <v>39420</v>
      </c>
      <c r="H148" s="17">
        <f t="shared" ref="H148" si="99">H13*365</f>
        <v>39420</v>
      </c>
    </row>
    <row r="149" spans="1:8" ht="18" customHeight="1">
      <c r="F149" s="17"/>
      <c r="G149" s="17"/>
    </row>
    <row r="150" spans="1:8" ht="18" customHeight="1">
      <c r="D150" s="134"/>
      <c r="E150" s="134"/>
      <c r="F150" s="134"/>
      <c r="G150" s="134"/>
    </row>
    <row r="151" spans="1:8" ht="18" customHeight="1">
      <c r="D151" s="88"/>
      <c r="E151" s="135"/>
      <c r="F151" s="135"/>
      <c r="G151" s="135"/>
    </row>
    <row r="152" spans="1:8" ht="18" customHeight="1">
      <c r="D152" s="243"/>
      <c r="E152" s="243"/>
      <c r="F152" s="243"/>
      <c r="G152" s="243"/>
      <c r="H152" s="243"/>
    </row>
    <row r="153" spans="1:8" ht="18" customHeight="1">
      <c r="D153" s="34"/>
      <c r="E153" s="34"/>
      <c r="F153" s="34"/>
      <c r="G153" s="34"/>
      <c r="H153" s="34"/>
    </row>
    <row r="154" spans="1:8" ht="18" customHeight="1">
      <c r="B154" s="180"/>
      <c r="C154" s="180"/>
    </row>
    <row r="155" spans="1:8" ht="18" customHeight="1">
      <c r="B155" s="180"/>
      <c r="C155" s="180"/>
    </row>
    <row r="156" spans="1:8" ht="18" customHeight="1"/>
    <row r="157" spans="1:8" ht="18" customHeight="1"/>
  </sheetData>
  <phoneticPr fontId="9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7"/>
  <sheetViews>
    <sheetView zoomScale="83" zoomScaleNormal="87" workbookViewId="0">
      <selection activeCell="Q24" sqref="Q24"/>
    </sheetView>
  </sheetViews>
  <sheetFormatPr defaultRowHeight="15.75"/>
  <cols>
    <col min="1" max="1" width="71.625" customWidth="1"/>
    <col min="2" max="3" width="12.375" bestFit="1" customWidth="1"/>
    <col min="4" max="5" width="13.5" bestFit="1" customWidth="1"/>
    <col min="6" max="6" width="17.75" bestFit="1" customWidth="1"/>
  </cols>
  <sheetData>
    <row r="1" spans="1:17">
      <c r="A1" s="1" t="s">
        <v>344</v>
      </c>
    </row>
    <row r="2" spans="1:17">
      <c r="A2" t="s">
        <v>346</v>
      </c>
      <c r="B2">
        <v>365</v>
      </c>
    </row>
    <row r="3" spans="1:17">
      <c r="A3" t="s">
        <v>345</v>
      </c>
      <c r="B3">
        <v>24</v>
      </c>
    </row>
    <row r="4" spans="1:17">
      <c r="A4" t="s">
        <v>355</v>
      </c>
      <c r="B4">
        <v>255.65700000000001</v>
      </c>
    </row>
    <row r="5" spans="1:17">
      <c r="A5" t="s">
        <v>356</v>
      </c>
      <c r="B5">
        <v>237.017</v>
      </c>
      <c r="N5" s="3"/>
      <c r="O5" s="3"/>
      <c r="P5" s="3"/>
      <c r="Q5" s="3"/>
    </row>
    <row r="8" spans="1:17">
      <c r="A8" s="147" t="s">
        <v>343</v>
      </c>
      <c r="B8" s="3" t="s">
        <v>339</v>
      </c>
      <c r="C8" s="3" t="s">
        <v>340</v>
      </c>
      <c r="D8" s="3" t="s">
        <v>341</v>
      </c>
      <c r="E8" s="3" t="s">
        <v>342</v>
      </c>
    </row>
    <row r="9" spans="1:17">
      <c r="A9" t="s">
        <v>336</v>
      </c>
      <c r="B9" s="148">
        <v>72.7</v>
      </c>
      <c r="C9" s="148">
        <v>265.60000000000002</v>
      </c>
      <c r="D9" s="148">
        <v>621.5</v>
      </c>
      <c r="E9" s="148">
        <v>2071</v>
      </c>
    </row>
    <row r="10" spans="1:17">
      <c r="A10" t="s">
        <v>337</v>
      </c>
      <c r="B10" s="148">
        <v>42.8</v>
      </c>
      <c r="C10" s="148">
        <v>151.69999999999999</v>
      </c>
      <c r="D10" s="148">
        <v>355</v>
      </c>
      <c r="E10" s="148">
        <v>1192.9000000000001</v>
      </c>
    </row>
    <row r="11" spans="1:17">
      <c r="A11" t="s">
        <v>338</v>
      </c>
      <c r="B11" s="148">
        <v>2.6</v>
      </c>
      <c r="C11" s="148">
        <v>9.1999999999999993</v>
      </c>
      <c r="D11" s="148">
        <v>21.5</v>
      </c>
      <c r="E11" s="148">
        <v>72.3</v>
      </c>
    </row>
    <row r="12" spans="1:17">
      <c r="A12" t="s">
        <v>485</v>
      </c>
      <c r="B12" s="145">
        <f>B11/(btupgj/million)</f>
        <v>2.7431452177187938</v>
      </c>
      <c r="C12" s="145">
        <f>C11/(btupgj/million)</f>
        <v>9.7065138473126549</v>
      </c>
      <c r="D12" s="145">
        <f>D11/(btupgj/million)</f>
        <v>22.683700838828486</v>
      </c>
      <c r="E12" s="145">
        <f>E11/(btupgj/million)</f>
        <v>76.280538169641844</v>
      </c>
      <c r="N12" s="2"/>
      <c r="O12" s="2"/>
      <c r="P12" s="2"/>
      <c r="Q12" s="2"/>
    </row>
    <row r="13" spans="1:17">
      <c r="A13" t="s">
        <v>351</v>
      </c>
      <c r="B13" s="149">
        <v>2180000</v>
      </c>
      <c r="C13" s="149">
        <v>4860000</v>
      </c>
      <c r="D13" s="149">
        <v>8460000</v>
      </c>
      <c r="E13" s="149">
        <v>13500000</v>
      </c>
    </row>
    <row r="14" spans="1:17" ht="31.5">
      <c r="A14" s="146" t="s">
        <v>352</v>
      </c>
      <c r="B14" s="149">
        <v>986000</v>
      </c>
      <c r="C14" s="149">
        <v>1260000</v>
      </c>
      <c r="D14" s="149">
        <v>2710000</v>
      </c>
      <c r="E14" s="149">
        <v>3500000</v>
      </c>
    </row>
    <row r="15" spans="1:17">
      <c r="A15" t="s">
        <v>350</v>
      </c>
      <c r="B15" s="148">
        <v>1.7</v>
      </c>
      <c r="C15" s="148">
        <v>1.7</v>
      </c>
      <c r="D15" s="148">
        <v>1.7</v>
      </c>
      <c r="E15" s="148">
        <v>1.7</v>
      </c>
    </row>
    <row r="16" spans="1:17">
      <c r="B16" s="17"/>
      <c r="C16" s="17"/>
      <c r="D16" s="17"/>
      <c r="E16" s="17"/>
    </row>
    <row r="17" spans="1:7">
      <c r="A17" s="1" t="s">
        <v>347</v>
      </c>
      <c r="B17" s="3" t="s">
        <v>339</v>
      </c>
      <c r="C17" s="3" t="s">
        <v>340</v>
      </c>
      <c r="D17" s="3" t="s">
        <v>341</v>
      </c>
      <c r="E17" s="3" t="s">
        <v>342</v>
      </c>
    </row>
    <row r="18" spans="1:7">
      <c r="A18" t="s">
        <v>348</v>
      </c>
      <c r="B18" s="14">
        <f>B11*$B$2*$B$3</f>
        <v>22776</v>
      </c>
      <c r="C18" s="14">
        <f t="shared" ref="C18:E18" si="0">C11*$B$2*$B$3</f>
        <v>80591.999999999985</v>
      </c>
      <c r="D18" s="14">
        <f t="shared" si="0"/>
        <v>188340</v>
      </c>
      <c r="E18" s="14">
        <f t="shared" si="0"/>
        <v>633348</v>
      </c>
    </row>
    <row r="19" spans="1:7">
      <c r="A19" t="s">
        <v>486</v>
      </c>
      <c r="B19" s="14">
        <f>B18/(btupgj/million)</f>
        <v>24029.952107216635</v>
      </c>
      <c r="C19" s="14">
        <f>C18/(btupgj/million)</f>
        <v>85029.061302458838</v>
      </c>
      <c r="D19" s="14">
        <f>D18/(btupgj/million)</f>
        <v>198709.21934813756</v>
      </c>
      <c r="E19" s="14">
        <f>E18/(btupgj/million)</f>
        <v>668217.51436606259</v>
      </c>
    </row>
    <row r="20" spans="1:7">
      <c r="A20" t="s">
        <v>349</v>
      </c>
      <c r="B20" s="16">
        <f>B14/B15</f>
        <v>580000</v>
      </c>
      <c r="C20" s="16">
        <f t="shared" ref="C20:E20" si="1">C14/C15</f>
        <v>741176.4705882353</v>
      </c>
      <c r="D20" s="16">
        <f t="shared" si="1"/>
        <v>1594117.6470588236</v>
      </c>
      <c r="E20" s="16">
        <f t="shared" si="1"/>
        <v>2058823.5294117648</v>
      </c>
    </row>
    <row r="21" spans="1:7">
      <c r="A21" t="s">
        <v>353</v>
      </c>
      <c r="B21" s="16">
        <f>B20+B13</f>
        <v>2760000</v>
      </c>
      <c r="C21" s="16">
        <f t="shared" ref="C21:E21" si="2">C20+C13</f>
        <v>5601176.4705882352</v>
      </c>
      <c r="D21" s="16">
        <f t="shared" si="2"/>
        <v>10054117.647058824</v>
      </c>
      <c r="E21" s="16">
        <f t="shared" si="2"/>
        <v>15558823.529411765</v>
      </c>
    </row>
    <row r="22" spans="1:7">
      <c r="A22" t="s">
        <v>354</v>
      </c>
      <c r="B22" s="16">
        <f>B21*($B$4/$B$5)</f>
        <v>2977057.8481712281</v>
      </c>
      <c r="C22" s="16">
        <f t="shared" ref="C22:D22" si="3">C21*($B$4/$B$5)</f>
        <v>6041676.2212886689</v>
      </c>
      <c r="D22" s="16">
        <f t="shared" si="3"/>
        <v>10844815.162178736</v>
      </c>
      <c r="E22" s="16">
        <f>E21*($B$4/$B$5)</f>
        <v>16782433.948024079</v>
      </c>
    </row>
    <row r="23" spans="1:7">
      <c r="A23" t="s">
        <v>357</v>
      </c>
      <c r="B23" s="150">
        <f>-PMT(Inputs!D24,Inputs!D25,'Upgrading and Injection Capital'!B22)</f>
        <v>326864.94976842467</v>
      </c>
      <c r="C23" s="150">
        <f>-PMT(Inputs!E24,Inputs!E25,'Upgrading and Injection Capital'!C22)</f>
        <v>663343.57328138477</v>
      </c>
      <c r="D23" s="150">
        <f>-PMT(Inputs!F24,Inputs!F25,'Upgrading and Injection Capital'!D22)</f>
        <v>1190702.4106831998</v>
      </c>
      <c r="E23" s="150">
        <f>-PMT(Inputs!G24,Inputs!G25,'Upgrading and Injection Capital'!E22)</f>
        <v>1842621.0368927354</v>
      </c>
    </row>
    <row r="24" spans="1:7">
      <c r="A24" t="s">
        <v>358</v>
      </c>
      <c r="B24" s="151">
        <f>B23/B18</f>
        <v>14.35128862699441</v>
      </c>
      <c r="C24" s="151">
        <f t="shared" ref="C24:E24" si="4">C23/C18</f>
        <v>8.2308861088121024</v>
      </c>
      <c r="D24" s="151">
        <f t="shared" si="4"/>
        <v>6.3220898942508219</v>
      </c>
      <c r="E24" s="151">
        <f t="shared" si="4"/>
        <v>2.9093342631424357</v>
      </c>
    </row>
    <row r="25" spans="1:7">
      <c r="A25" t="s">
        <v>487</v>
      </c>
      <c r="B25" s="178">
        <f>B23/B19</f>
        <v>13.602397054726595</v>
      </c>
      <c r="C25" s="178">
        <f t="shared" ref="C25:E25" si="5">C23/C19</f>
        <v>7.8013747667022928</v>
      </c>
      <c r="D25" s="178">
        <f t="shared" si="5"/>
        <v>5.9921850359499178</v>
      </c>
      <c r="E25" s="178">
        <f t="shared" si="5"/>
        <v>2.7575168224089852</v>
      </c>
    </row>
    <row r="26" spans="1:7">
      <c r="A26" s="1" t="s">
        <v>370</v>
      </c>
      <c r="B26" s="17"/>
      <c r="C26" s="17"/>
      <c r="D26" s="17"/>
      <c r="E26" s="17"/>
    </row>
    <row r="27" spans="1:7">
      <c r="A27" t="s">
        <v>359</v>
      </c>
      <c r="B27" s="17">
        <v>22.794</v>
      </c>
      <c r="C27" s="17"/>
      <c r="D27" s="17"/>
      <c r="E27" s="17"/>
    </row>
    <row r="28" spans="1:7">
      <c r="A28" t="s">
        <v>360</v>
      </c>
      <c r="B28" s="17">
        <v>-0.46899999999999997</v>
      </c>
      <c r="C28" s="17"/>
      <c r="D28" s="17"/>
      <c r="E28" s="17"/>
    </row>
    <row r="29" spans="1:7">
      <c r="B29" s="17"/>
      <c r="C29" s="17"/>
      <c r="D29" s="17"/>
      <c r="E29" s="17"/>
    </row>
    <row r="30" spans="1:7">
      <c r="B30" s="3" t="s">
        <v>507</v>
      </c>
      <c r="C30" s="3" t="s">
        <v>189</v>
      </c>
      <c r="D30" s="3" t="s">
        <v>190</v>
      </c>
      <c r="E30" s="3" t="s">
        <v>191</v>
      </c>
      <c r="F30" s="3" t="s">
        <v>192</v>
      </c>
      <c r="G30" s="3" t="s">
        <v>516</v>
      </c>
    </row>
    <row r="31" spans="1:7">
      <c r="A31" t="s">
        <v>489</v>
      </c>
      <c r="B31" s="144">
        <f>Intermediates!C37/(Inputs!C23*'Unit Conversions'!$B$10)*Inputs!C22</f>
        <v>0.51742504198945982</v>
      </c>
      <c r="C31" s="144">
        <f>Intermediates!D37/(Inputs!D23*'Unit Conversions'!$B$10)*Inputs!D22</f>
        <v>0.70828644794510187</v>
      </c>
      <c r="D31" s="144">
        <f>Intermediates!E37/(Inputs!E23*'Unit Conversions'!$B$10)*Inputs!E22</f>
        <v>1.2808706841348627</v>
      </c>
      <c r="E31" s="144">
        <f>Intermediates!F37/(Inputs!F23*'Unit Conversions'!$B$10)*Inputs!F22</f>
        <v>6.4043534206743136</v>
      </c>
      <c r="F31" s="144">
        <f>Intermediates!G37/(Inputs!G23*'Unit Conversions'!$B$10)*Inputs!G22</f>
        <v>6.4043534206743127</v>
      </c>
      <c r="G31" s="144">
        <f>Intermediates!H37/(Inputs!H23*'Unit Conversions'!$B$10)*Inputs!H22</f>
        <v>2.5871252099472999</v>
      </c>
    </row>
    <row r="32" spans="1:7">
      <c r="A32" t="s">
        <v>488</v>
      </c>
      <c r="B32" s="133">
        <f>($B$27*B31^($B$28))</f>
        <v>31.047461191467448</v>
      </c>
      <c r="C32" s="133">
        <f>($B$27*C31^($B$28))</f>
        <v>26.796159531230817</v>
      </c>
      <c r="D32" s="133">
        <f t="shared" ref="D32:F32" si="6">($B$27*D31^($B$28))</f>
        <v>20.295537843672161</v>
      </c>
      <c r="E32" s="133">
        <f t="shared" si="6"/>
        <v>9.5407745347896267</v>
      </c>
      <c r="F32" s="133">
        <f t="shared" si="6"/>
        <v>9.5407745347896284</v>
      </c>
      <c r="G32" s="133">
        <f>($B$27*G31^($B$28))</f>
        <v>14.595170100297571</v>
      </c>
    </row>
    <row r="33" spans="1:7">
      <c r="A33" s="1" t="s">
        <v>361</v>
      </c>
      <c r="B33" s="77">
        <f>B32</f>
        <v>31.047461191467448</v>
      </c>
      <c r="C33" s="77">
        <f>C32</f>
        <v>26.796159531230817</v>
      </c>
      <c r="D33" s="77">
        <f t="shared" ref="D33:F33" si="7">D32</f>
        <v>20.295537843672161</v>
      </c>
      <c r="E33" s="77">
        <f t="shared" si="7"/>
        <v>9.5407745347896267</v>
      </c>
      <c r="F33" s="77">
        <f t="shared" si="7"/>
        <v>9.5407745347896284</v>
      </c>
      <c r="G33" s="77">
        <f t="shared" ref="G33" si="8">G32</f>
        <v>14.595170100297571</v>
      </c>
    </row>
    <row r="40" spans="1:7">
      <c r="A40" s="1"/>
      <c r="B40" s="17"/>
      <c r="C40" s="17"/>
      <c r="D40" s="17"/>
      <c r="E40" s="17"/>
    </row>
    <row r="41" spans="1:7">
      <c r="B41" s="17"/>
      <c r="C41" s="17"/>
      <c r="D41" s="17"/>
      <c r="E41" s="17"/>
    </row>
    <row r="42" spans="1:7">
      <c r="B42" s="17"/>
      <c r="C42" s="17"/>
      <c r="D42" s="17"/>
      <c r="E42" s="17"/>
    </row>
    <row r="43" spans="1:7">
      <c r="B43" s="17"/>
      <c r="C43" s="17"/>
      <c r="D43" s="17"/>
      <c r="E43" s="17"/>
    </row>
    <row r="44" spans="1:7">
      <c r="B44" s="3"/>
      <c r="C44" s="3"/>
      <c r="D44" s="3"/>
      <c r="E44" s="3"/>
    </row>
    <row r="45" spans="1:7">
      <c r="B45" s="144"/>
      <c r="C45" s="144"/>
      <c r="D45" s="144"/>
      <c r="E45" s="144"/>
    </row>
    <row r="46" spans="1:7">
      <c r="B46" s="133"/>
      <c r="C46" s="133"/>
      <c r="D46" s="133"/>
      <c r="E46" s="133"/>
    </row>
    <row r="47" spans="1:7">
      <c r="A47" s="1"/>
      <c r="B47" s="77"/>
      <c r="C47" s="77"/>
      <c r="D47" s="77"/>
      <c r="E47" s="77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9"/>
  <sheetViews>
    <sheetView zoomScale="70" zoomScaleNormal="70" workbookViewId="0">
      <selection activeCell="F46" sqref="F46"/>
    </sheetView>
  </sheetViews>
  <sheetFormatPr defaultColWidth="11" defaultRowHeight="18" customHeight="1"/>
  <cols>
    <col min="1" max="1" width="28" bestFit="1" customWidth="1"/>
    <col min="2" max="2" width="28" style="17" hidden="1" customWidth="1"/>
    <col min="3" max="6" width="25.875" customWidth="1"/>
    <col min="7" max="7" width="11" hidden="1" customWidth="1"/>
    <col min="9" max="9" width="14.75" bestFit="1" customWidth="1"/>
  </cols>
  <sheetData>
    <row r="1" spans="1:9" ht="18" customHeight="1">
      <c r="A1" s="40"/>
      <c r="B1" s="37" t="s">
        <v>506</v>
      </c>
      <c r="C1" s="37" t="s">
        <v>44</v>
      </c>
      <c r="D1" s="37" t="s">
        <v>45</v>
      </c>
      <c r="E1" s="37" t="s">
        <v>78</v>
      </c>
      <c r="F1" s="37" t="s">
        <v>93</v>
      </c>
      <c r="G1" s="37" t="s">
        <v>514</v>
      </c>
    </row>
    <row r="2" spans="1:9" ht="18" customHeight="1">
      <c r="A2" s="55" t="s">
        <v>269</v>
      </c>
      <c r="B2" s="56">
        <f>Intermediates!C36</f>
        <v>192779.98803064271</v>
      </c>
      <c r="C2" s="56">
        <f>Intermediates!D36</f>
        <v>263890.30656909064</v>
      </c>
      <c r="D2" s="56">
        <f>Intermediates!E36</f>
        <v>477221.28797414678</v>
      </c>
      <c r="E2" s="56">
        <f>Intermediates!F36</f>
        <v>477221.28797414678</v>
      </c>
      <c r="F2" s="56">
        <f>Intermediates!G36</f>
        <v>2386106.4398707338</v>
      </c>
      <c r="G2" s="56">
        <f>Intermediates!H36</f>
        <v>963899.97845515609</v>
      </c>
    </row>
    <row r="3" spans="1:9" ht="18" customHeight="1">
      <c r="A3" s="55" t="s">
        <v>151</v>
      </c>
      <c r="B3" s="56">
        <f>Intermediates!C37</f>
        <v>4222.1883426339919</v>
      </c>
      <c r="C3" s="56">
        <f>Intermediates!D37</f>
        <v>5779.6174152320309</v>
      </c>
      <c r="D3" s="56">
        <f>Intermediates!E37</f>
        <v>10451.90478254048</v>
      </c>
      <c r="E3" s="56">
        <f>Intermediates!F37</f>
        <v>10451.90478254048</v>
      </c>
      <c r="F3" s="56">
        <f>Intermediates!G37</f>
        <v>52259.523912702389</v>
      </c>
      <c r="G3" s="56">
        <f>Intermediates!H37</f>
        <v>21110.941713169967</v>
      </c>
      <c r="I3" s="160"/>
    </row>
    <row r="4" spans="1:9" ht="18" customHeight="1">
      <c r="A4" s="5"/>
      <c r="B4" s="3"/>
      <c r="C4" s="3"/>
      <c r="D4" s="3"/>
      <c r="E4" s="3"/>
      <c r="F4" s="3"/>
      <c r="G4" s="3"/>
    </row>
    <row r="5" spans="1:9" ht="18" customHeight="1">
      <c r="A5" s="40" t="s">
        <v>149</v>
      </c>
      <c r="B5" s="52"/>
      <c r="C5" s="52"/>
      <c r="D5" s="53"/>
      <c r="E5" s="53"/>
      <c r="F5" s="53"/>
      <c r="G5" s="53"/>
    </row>
    <row r="6" spans="1:9" ht="18" customHeight="1">
      <c r="A6" s="41" t="s">
        <v>5</v>
      </c>
      <c r="B6" s="42">
        <f>Intermediates!C123</f>
        <v>41469.219978813402</v>
      </c>
      <c r="C6" s="42">
        <f>Intermediates!D123</f>
        <v>44279.911555155188</v>
      </c>
      <c r="D6" s="42">
        <f>Intermediates!E123</f>
        <v>44279.911555155188</v>
      </c>
      <c r="E6" s="42">
        <f>Intermediates!F123</f>
        <v>44279.911555155188</v>
      </c>
      <c r="F6" s="42">
        <f>Intermediates!G123</f>
        <v>221399.55777577593</v>
      </c>
      <c r="G6" s="42">
        <f>Intermediates!H123</f>
        <v>207346.09989406695</v>
      </c>
    </row>
    <row r="7" spans="1:9" ht="18" customHeight="1">
      <c r="A7" s="41" t="s">
        <v>55</v>
      </c>
      <c r="B7" s="54">
        <f>Intermediates!C16*Inputs!C19*Inputs!C23/kilo</f>
        <v>0</v>
      </c>
      <c r="C7" s="54">
        <f>Intermediates!D16*Inputs!D19*Inputs!D23/kilo</f>
        <v>19133.792680144263</v>
      </c>
      <c r="D7" s="54">
        <f>Intermediates!E16*Inputs!E19*Inputs!E23/kilo</f>
        <v>76535.172693446846</v>
      </c>
      <c r="E7" s="54">
        <f>Intermediates!F16*Inputs!F19*Inputs!F23/kilo</f>
        <v>76535.172693446846</v>
      </c>
      <c r="F7" s="54">
        <f>Intermediates!G16*Inputs!G19*Inputs!G23/kilo</f>
        <v>382675.8634672343</v>
      </c>
      <c r="G7" s="54">
        <f>Intermediates!H16*Inputs!H19*Inputs!H23/kilo</f>
        <v>0</v>
      </c>
    </row>
    <row r="8" spans="1:9" ht="18" customHeight="1">
      <c r="A8" s="44" t="s">
        <v>148</v>
      </c>
      <c r="B8" s="45">
        <f>B6+B7</f>
        <v>41469.219978813402</v>
      </c>
      <c r="C8" s="45">
        <f>C6+C7</f>
        <v>63413.704235299447</v>
      </c>
      <c r="D8" s="45">
        <f t="shared" ref="D8:F8" si="0">D6+D7</f>
        <v>120815.08424860204</v>
      </c>
      <c r="E8" s="45">
        <f t="shared" si="0"/>
        <v>120815.08424860204</v>
      </c>
      <c r="F8" s="45">
        <f t="shared" si="0"/>
        <v>604075.42124301021</v>
      </c>
      <c r="G8" s="45">
        <f t="shared" ref="G8" si="1">G6+G7</f>
        <v>207346.09989406695</v>
      </c>
    </row>
    <row r="9" spans="1:9" ht="18" customHeight="1">
      <c r="A9" s="44" t="s">
        <v>122</v>
      </c>
      <c r="B9" s="45">
        <f>Intermediates!C105</f>
        <v>0</v>
      </c>
      <c r="C9" s="45">
        <f>Intermediates!D105</f>
        <v>0</v>
      </c>
      <c r="D9" s="45">
        <f>Intermediates!E105</f>
        <v>0</v>
      </c>
      <c r="E9" s="45">
        <f>Intermediates!F105</f>
        <v>0</v>
      </c>
      <c r="F9" s="45">
        <f>Intermediates!G105</f>
        <v>511123.17384514282</v>
      </c>
      <c r="G9" s="45">
        <f>Intermediates!H105</f>
        <v>511123.17384514282</v>
      </c>
    </row>
    <row r="10" spans="1:9" ht="18" customHeight="1">
      <c r="A10" s="44" t="s">
        <v>4</v>
      </c>
      <c r="B10" s="45">
        <f>Intermediates!C98*Intermediates!C37</f>
        <v>260267.57028168187</v>
      </c>
      <c r="C10" s="45">
        <f>Intermediates!D98*Intermediates!D37</f>
        <v>311550.37686963257</v>
      </c>
      <c r="D10" s="45">
        <f>Intermediates!E98*Intermediates!E37</f>
        <v>442927.5177573915</v>
      </c>
      <c r="E10" s="45">
        <f>Intermediates!F98*Intermediates!F37</f>
        <v>560504.46213556849</v>
      </c>
      <c r="F10" s="45">
        <f>Intermediates!G98*Intermediates!G37</f>
        <v>948749.4752098649</v>
      </c>
      <c r="G10" s="45">
        <f>Intermediates!H98*Intermediates!H37</f>
        <v>565368.60190280341</v>
      </c>
    </row>
    <row r="11" spans="1:9" ht="18" customHeight="1">
      <c r="A11" s="44" t="s">
        <v>6</v>
      </c>
      <c r="B11" s="45">
        <f>Intermediates!C110+Intermediates!C112+Intermediates!C116+Intermediates!C120</f>
        <v>47481.349628434182</v>
      </c>
      <c r="C11" s="45">
        <f>Intermediates!D110+Intermediates!D112+Intermediates!D115+Intermediates!D116+Intermediates!D120</f>
        <v>59678.148675341698</v>
      </c>
      <c r="D11" s="45">
        <f>Intermediates!E110+Intermediates!E112+Intermediates!E115+Intermediates!E116+Intermediates!E120</f>
        <v>103790.89672622661</v>
      </c>
      <c r="E11" s="45">
        <f>Intermediates!F110+Intermediates!F112+Intermediates!F115+Intermediates!F116+Intermediates!F120</f>
        <v>126789.36737036433</v>
      </c>
      <c r="F11" s="45">
        <f>Intermediates!G110+Intermediates!G112+Intermediates!G115+Intermediates!G116+Intermediates!G120</f>
        <v>448569.55330502382</v>
      </c>
      <c r="G11" s="45">
        <f>Intermediates!H112+Intermediates!H116+Intermediates!H120+Intermediates!H110</f>
        <v>132998.04816180616</v>
      </c>
    </row>
    <row r="12" spans="1:9" ht="18" customHeight="1">
      <c r="A12" s="153" t="s">
        <v>369</v>
      </c>
      <c r="B12" s="154">
        <f>SUM(B8:B11)</f>
        <v>349218.13988892944</v>
      </c>
      <c r="C12" s="154">
        <f>SUM(C8:C11)</f>
        <v>434642.22978027369</v>
      </c>
      <c r="D12" s="154">
        <f t="shared" ref="D12:F12" si="2">SUM(D8:D11)</f>
        <v>667533.49873222015</v>
      </c>
      <c r="E12" s="154">
        <f t="shared" si="2"/>
        <v>808108.91375453491</v>
      </c>
      <c r="F12" s="154">
        <f t="shared" si="2"/>
        <v>2512517.6236030417</v>
      </c>
      <c r="G12" s="154">
        <f t="shared" ref="G12" si="3">SUM(G8:G11)</f>
        <v>1416835.9238038193</v>
      </c>
    </row>
    <row r="13" spans="1:9" ht="18" customHeight="1">
      <c r="A13" s="44" t="s">
        <v>99</v>
      </c>
      <c r="B13" s="45">
        <f>-Intermediates!C136</f>
        <v>-41469.219978813409</v>
      </c>
      <c r="C13" s="45">
        <f>-Intermediates!D136</f>
        <v>-45472.194351619262</v>
      </c>
      <c r="D13" s="45">
        <f>-Intermediates!E136</f>
        <v>-49049.042863946757</v>
      </c>
      <c r="E13" s="45">
        <f>-Intermediates!F136</f>
        <v>-49049.042863946757</v>
      </c>
      <c r="F13" s="45">
        <f>-Intermediates!G136</f>
        <v>-245245.2143197337</v>
      </c>
      <c r="G13" s="45">
        <f>-Intermediates!H136</f>
        <v>-207346.09989406695</v>
      </c>
    </row>
    <row r="14" spans="1:9" ht="18" customHeight="1">
      <c r="A14" s="44" t="s">
        <v>200</v>
      </c>
      <c r="B14" s="45">
        <f>Intermediates!C139</f>
        <v>-99786.698680841713</v>
      </c>
      <c r="C14" s="45">
        <f>Intermediates!D139</f>
        <v>-136594.79272412427</v>
      </c>
      <c r="D14" s="45">
        <f>Intermediates!E139</f>
        <v>-247019.07838757592</v>
      </c>
      <c r="E14" s="45">
        <f>Intermediates!F139</f>
        <v>-247019.07838757592</v>
      </c>
      <c r="F14" s="45">
        <f>Intermediates!G139</f>
        <v>-1235095.3919378796</v>
      </c>
      <c r="G14" s="45">
        <f>Intermediates!H139</f>
        <v>-498933.49340420886</v>
      </c>
      <c r="H14" s="34"/>
      <c r="I14" s="34"/>
    </row>
    <row r="15" spans="1:9" ht="18" customHeight="1">
      <c r="A15" s="44" t="s">
        <v>411</v>
      </c>
      <c r="B15" s="45">
        <f>Intermediates!C144</f>
        <v>-106965.22416629367</v>
      </c>
      <c r="C15" s="45">
        <f>Intermediates!D144</f>
        <v>-121482.30955943676</v>
      </c>
      <c r="D15" s="45">
        <f>Intermediates!E144</f>
        <v>-165033.56864370528</v>
      </c>
      <c r="E15" s="45">
        <f>Intermediates!F144</f>
        <v>-165033.56864370528</v>
      </c>
      <c r="F15" s="45">
        <f>Intermediates!G144</f>
        <v>-825167.84321852634</v>
      </c>
      <c r="G15" s="45">
        <f>Intermediates!H144</f>
        <v>-534826.12083146838</v>
      </c>
      <c r="H15" s="34"/>
      <c r="I15" s="34"/>
    </row>
    <row r="16" spans="1:9" ht="18" customHeight="1">
      <c r="A16" s="48" t="s">
        <v>76</v>
      </c>
      <c r="B16" s="49">
        <f t="shared" ref="B16:G16" si="4">SUM(B13:B15,B8:B11)</f>
        <v>100996.99706298068</v>
      </c>
      <c r="C16" s="49">
        <f t="shared" si="4"/>
        <v>131092.93314509338</v>
      </c>
      <c r="D16" s="49">
        <f t="shared" si="4"/>
        <v>206431.80883699219</v>
      </c>
      <c r="E16" s="49">
        <f t="shared" si="4"/>
        <v>347007.22385930689</v>
      </c>
      <c r="F16" s="49">
        <f t="shared" si="4"/>
        <v>207009.17412690201</v>
      </c>
      <c r="G16" s="49">
        <f t="shared" si="4"/>
        <v>175730.20967407522</v>
      </c>
    </row>
    <row r="17" spans="1:20" ht="18" customHeight="1">
      <c r="A17" s="15"/>
      <c r="B17" s="16"/>
      <c r="C17" s="16"/>
      <c r="D17" s="16"/>
      <c r="E17" s="16"/>
      <c r="F17" s="16"/>
      <c r="G17" s="16"/>
    </row>
    <row r="18" spans="1:20" ht="18" customHeight="1">
      <c r="A18" s="36" t="s">
        <v>270</v>
      </c>
      <c r="B18" s="51"/>
      <c r="C18" s="51"/>
      <c r="D18" s="51"/>
      <c r="E18" s="51"/>
      <c r="F18" s="51"/>
      <c r="G18" s="51"/>
    </row>
    <row r="19" spans="1:20" ht="18" customHeight="1">
      <c r="A19" s="41" t="s">
        <v>5</v>
      </c>
      <c r="B19" s="43">
        <f>B6/B$2</f>
        <v>0.21511164308310776</v>
      </c>
      <c r="C19" s="43">
        <f>C6/C$2</f>
        <v>0.16779665812985067</v>
      </c>
      <c r="D19" s="43">
        <f t="shared" ref="C19:F20" si="5">D6/D$2</f>
        <v>9.2786957897724856E-2</v>
      </c>
      <c r="E19" s="43">
        <f t="shared" si="5"/>
        <v>9.2786957897724856E-2</v>
      </c>
      <c r="F19" s="43">
        <f t="shared" si="5"/>
        <v>9.2786957897724856E-2</v>
      </c>
      <c r="G19" s="43">
        <f t="shared" ref="G19" si="6">G6/G$2</f>
        <v>0.2151116345353393</v>
      </c>
      <c r="M19" s="7"/>
      <c r="N19" s="7"/>
      <c r="O19" s="7"/>
      <c r="P19" s="7"/>
      <c r="Q19" s="162"/>
      <c r="R19" s="162"/>
      <c r="S19" s="162"/>
      <c r="T19" s="162"/>
    </row>
    <row r="20" spans="1:20" ht="18" customHeight="1">
      <c r="A20" s="41" t="s">
        <v>55</v>
      </c>
      <c r="B20" s="43">
        <f t="shared" ref="B20" si="7">B7/B$2</f>
        <v>0</v>
      </c>
      <c r="C20" s="43">
        <f t="shared" si="5"/>
        <v>7.2506614316031101E-2</v>
      </c>
      <c r="D20" s="43">
        <f t="shared" si="5"/>
        <v>0.16037669446462979</v>
      </c>
      <c r="E20" s="43">
        <f t="shared" si="5"/>
        <v>0.16037669446462979</v>
      </c>
      <c r="F20" s="43">
        <f t="shared" si="5"/>
        <v>0.16037669446462982</v>
      </c>
      <c r="G20" s="43">
        <f>G7/G$2</f>
        <v>0</v>
      </c>
    </row>
    <row r="21" spans="1:20" ht="18" customHeight="1">
      <c r="A21" s="44" t="s">
        <v>145</v>
      </c>
      <c r="B21" s="46">
        <f>SUM(B19:B20)</f>
        <v>0.21511164308310776</v>
      </c>
      <c r="C21" s="46">
        <f>SUM(C19:C20)</f>
        <v>0.24030327244588179</v>
      </c>
      <c r="D21" s="46">
        <f t="shared" ref="D21:F21" si="8">SUM(D19:D20)</f>
        <v>0.25316365236235466</v>
      </c>
      <c r="E21" s="46">
        <f t="shared" si="8"/>
        <v>0.25316365236235466</v>
      </c>
      <c r="F21" s="46">
        <f t="shared" si="8"/>
        <v>0.25316365236235466</v>
      </c>
      <c r="G21" s="46">
        <f t="shared" ref="G21" si="9">SUM(G19:G20)</f>
        <v>0.2151116345353393</v>
      </c>
    </row>
    <row r="22" spans="1:20" ht="18" customHeight="1">
      <c r="A22" s="44" t="s">
        <v>146</v>
      </c>
      <c r="B22" s="46">
        <f t="shared" ref="B22" si="10">B9/B$2</f>
        <v>0</v>
      </c>
      <c r="C22" s="46">
        <f t="shared" ref="C22:F24" si="11">C9/C$2</f>
        <v>0</v>
      </c>
      <c r="D22" s="46">
        <f t="shared" si="11"/>
        <v>0</v>
      </c>
      <c r="E22" s="46">
        <f t="shared" si="11"/>
        <v>0</v>
      </c>
      <c r="F22" s="46">
        <f t="shared" si="11"/>
        <v>0.21420803586315817</v>
      </c>
      <c r="G22" s="46">
        <f t="shared" ref="G22" si="12">G9/G$2</f>
        <v>0.53026577992492607</v>
      </c>
    </row>
    <row r="23" spans="1:20" ht="18" customHeight="1">
      <c r="A23" s="44" t="s">
        <v>4</v>
      </c>
      <c r="B23" s="46">
        <f t="shared" ref="B23" si="13">B10/B$2</f>
        <v>1.3500756636643836</v>
      </c>
      <c r="C23" s="46">
        <f t="shared" si="11"/>
        <v>1.1806056119308943</v>
      </c>
      <c r="D23" s="46">
        <f t="shared" si="11"/>
        <v>0.92813864116930778</v>
      </c>
      <c r="E23" s="46">
        <f t="shared" si="11"/>
        <v>1.1745168882028867</v>
      </c>
      <c r="F23" s="46">
        <f t="shared" si="11"/>
        <v>0.39761406254000259</v>
      </c>
      <c r="G23" s="46">
        <f t="shared" ref="G23" si="14">G10/G$2</f>
        <v>0.5865428099800567</v>
      </c>
    </row>
    <row r="24" spans="1:20" ht="18" customHeight="1">
      <c r="A24" s="44" t="s">
        <v>6</v>
      </c>
      <c r="B24" s="46">
        <f t="shared" ref="B24" si="15">B11/B$2</f>
        <v>0.24629812520211869</v>
      </c>
      <c r="C24" s="46">
        <f t="shared" si="11"/>
        <v>0.22614755900371436</v>
      </c>
      <c r="D24" s="46">
        <f t="shared" si="11"/>
        <v>0.21749008131391118</v>
      </c>
      <c r="E24" s="46">
        <f t="shared" si="11"/>
        <v>0.26568254720697432</v>
      </c>
      <c r="F24" s="46">
        <f t="shared" si="11"/>
        <v>0.18799226464068589</v>
      </c>
      <c r="G24" s="46">
        <f t="shared" ref="G24" si="16">G11/G$2</f>
        <v>0.13797909651887566</v>
      </c>
    </row>
    <row r="25" spans="1:20" ht="18" customHeight="1">
      <c r="A25" s="153" t="s">
        <v>369</v>
      </c>
      <c r="B25" s="155">
        <f>SUM(B21:B24)</f>
        <v>1.8114854319496101</v>
      </c>
      <c r="C25" s="155">
        <f>SUM(C21:C24)</f>
        <v>1.6470564433804904</v>
      </c>
      <c r="D25" s="155">
        <f t="shared" ref="D25" si="17">SUM(D21:D24)</f>
        <v>1.3987923748455735</v>
      </c>
      <c r="E25" s="155">
        <f t="shared" ref="E25" si="18">SUM(E21:E24)</f>
        <v>1.6933630877722157</v>
      </c>
      <c r="F25" s="155">
        <f t="shared" ref="F25:G25" si="19">SUM(F21:F24)</f>
        <v>1.0529780154062014</v>
      </c>
      <c r="G25" s="155">
        <f t="shared" si="19"/>
        <v>1.4698993209591977</v>
      </c>
    </row>
    <row r="26" spans="1:20" ht="18" customHeight="1">
      <c r="A26" s="44" t="s">
        <v>147</v>
      </c>
      <c r="B26" s="46">
        <f t="shared" ref="B26" si="20">B13/B$2</f>
        <v>-0.21511164308310782</v>
      </c>
      <c r="C26" s="46">
        <f t="shared" ref="C26:F28" si="21">C13/C$2</f>
        <v>-0.17231475813877206</v>
      </c>
      <c r="D26" s="46">
        <f t="shared" si="21"/>
        <v>-0.10278050057692306</v>
      </c>
      <c r="E26" s="46">
        <f t="shared" si="21"/>
        <v>-0.10278050057692306</v>
      </c>
      <c r="F26" s="46">
        <f t="shared" si="21"/>
        <v>-0.10278050057692302</v>
      </c>
      <c r="G26" s="46">
        <f t="shared" ref="G26" si="22">G13/G$2</f>
        <v>-0.2151116345353393</v>
      </c>
    </row>
    <row r="27" spans="1:20" ht="18" customHeight="1">
      <c r="A27" s="44" t="s">
        <v>200</v>
      </c>
      <c r="B27" s="46">
        <f t="shared" ref="B27" si="23">B14/B$2</f>
        <v>-0.51761959164029225</v>
      </c>
      <c r="C27" s="46">
        <f t="shared" si="21"/>
        <v>-0.51761959164029248</v>
      </c>
      <c r="D27" s="46">
        <f t="shared" si="21"/>
        <v>-0.51761957107193857</v>
      </c>
      <c r="E27" s="46">
        <f t="shared" si="21"/>
        <v>-0.51761957107193857</v>
      </c>
      <c r="F27" s="46">
        <f t="shared" si="21"/>
        <v>-0.51761957107193857</v>
      </c>
      <c r="G27" s="46">
        <f t="shared" ref="G27" si="24">G14/G$2</f>
        <v>-0.51761957107193868</v>
      </c>
    </row>
    <row r="28" spans="1:20" ht="18" customHeight="1">
      <c r="A28" s="44" t="s">
        <v>411</v>
      </c>
      <c r="B28" s="46">
        <f t="shared" ref="B28" si="25">B15/B$2</f>
        <v>-0.5548564727024019</v>
      </c>
      <c r="C28" s="46">
        <f t="shared" si="21"/>
        <v>-0.46035154204359069</v>
      </c>
      <c r="D28" s="46">
        <f t="shared" si="21"/>
        <v>-0.34582189186129914</v>
      </c>
      <c r="E28" s="46">
        <f t="shared" si="21"/>
        <v>-0.34582189186129914</v>
      </c>
      <c r="F28" s="46">
        <f t="shared" si="21"/>
        <v>-0.34582189186129914</v>
      </c>
      <c r="G28" s="46">
        <f t="shared" ref="G28" si="26">G15/G$2</f>
        <v>-0.55485645065438738</v>
      </c>
    </row>
    <row r="29" spans="1:20" ht="18" customHeight="1">
      <c r="A29" s="48" t="s">
        <v>76</v>
      </c>
      <c r="B29" s="50">
        <f>SUM(B26:B28,B21:B24)</f>
        <v>0.52389772452380801</v>
      </c>
      <c r="C29" s="50">
        <f>SUM(C26:C28,C21:C24)</f>
        <v>0.49677055155783517</v>
      </c>
      <c r="D29" s="50">
        <f t="shared" ref="D29:F29" si="27">SUM(D26:D28,D21:D24)</f>
        <v>0.4325704113354128</v>
      </c>
      <c r="E29" s="50">
        <f t="shared" si="27"/>
        <v>0.72714112426205491</v>
      </c>
      <c r="F29" s="50">
        <f t="shared" si="27"/>
        <v>8.6756051896040492E-2</v>
      </c>
      <c r="G29" s="50">
        <f t="shared" ref="G29" si="28">SUM(G26:G28,G21:G24)</f>
        <v>0.18231166469753238</v>
      </c>
    </row>
    <row r="30" spans="1:20" ht="18" customHeight="1">
      <c r="A30" s="15"/>
      <c r="B30" s="27"/>
      <c r="C30" s="27"/>
      <c r="D30" s="27"/>
      <c r="E30" s="27"/>
      <c r="F30" s="27"/>
      <c r="G30" s="27"/>
    </row>
    <row r="31" spans="1:20" ht="18" customHeight="1">
      <c r="A31" s="40" t="s">
        <v>150</v>
      </c>
      <c r="B31" s="51"/>
      <c r="C31" s="51"/>
      <c r="D31" s="51"/>
      <c r="E31" s="51"/>
      <c r="F31" s="51"/>
      <c r="G31" s="51"/>
    </row>
    <row r="32" spans="1:20" ht="18" customHeight="1">
      <c r="A32" s="41" t="s">
        <v>5</v>
      </c>
      <c r="B32" s="43">
        <f t="shared" ref="B32:C37" si="29">B6/B$3</f>
        <v>9.8217361741241103</v>
      </c>
      <c r="C32" s="43">
        <f t="shared" si="29"/>
        <v>7.6613914683101054</v>
      </c>
      <c r="D32" s="43">
        <f t="shared" ref="D32:F32" si="30">D6/D$3</f>
        <v>4.2365398916686594</v>
      </c>
      <c r="E32" s="43">
        <f t="shared" si="30"/>
        <v>4.2365398916686594</v>
      </c>
      <c r="F32" s="43">
        <f t="shared" si="30"/>
        <v>4.2365398916686603</v>
      </c>
      <c r="G32" s="43">
        <f t="shared" ref="G32" si="31">G6/G$3</f>
        <v>9.8217361741241049</v>
      </c>
      <c r="H32" s="166"/>
      <c r="I32" s="166"/>
      <c r="J32" s="166"/>
      <c r="K32" s="166"/>
      <c r="L32" s="34"/>
    </row>
    <row r="33" spans="1:14" ht="18" customHeight="1">
      <c r="A33" s="41" t="s">
        <v>55</v>
      </c>
      <c r="B33" s="43">
        <f t="shared" si="29"/>
        <v>0</v>
      </c>
      <c r="C33" s="43">
        <f t="shared" si="29"/>
        <v>3.3105638843356053</v>
      </c>
      <c r="D33" s="43">
        <f t="shared" ref="D33:F37" si="32">D7/D$3</f>
        <v>7.3226052366355292</v>
      </c>
      <c r="E33" s="43">
        <f t="shared" si="32"/>
        <v>7.3226052366355292</v>
      </c>
      <c r="F33" s="43">
        <f t="shared" si="32"/>
        <v>7.3226052366355319</v>
      </c>
      <c r="G33" s="43">
        <f t="shared" ref="G33" si="33">G7/G$3</f>
        <v>0</v>
      </c>
      <c r="H33" s="166"/>
      <c r="I33" s="166"/>
      <c r="J33" s="166"/>
      <c r="K33" s="166"/>
      <c r="L33" s="34"/>
    </row>
    <row r="34" spans="1:14" ht="18" customHeight="1">
      <c r="A34" s="44" t="s">
        <v>145</v>
      </c>
      <c r="B34" s="46">
        <f t="shared" si="29"/>
        <v>9.8217361741241103</v>
      </c>
      <c r="C34" s="46">
        <f t="shared" si="29"/>
        <v>10.971955352645711</v>
      </c>
      <c r="D34" s="46">
        <f t="shared" si="32"/>
        <v>11.559145128304189</v>
      </c>
      <c r="E34" s="46">
        <f t="shared" si="32"/>
        <v>11.559145128304189</v>
      </c>
      <c r="F34" s="46">
        <f t="shared" si="32"/>
        <v>11.559145128304191</v>
      </c>
      <c r="G34" s="46">
        <f t="shared" ref="G34" si="34">G8/G$3</f>
        <v>9.8217361741241049</v>
      </c>
      <c r="H34" s="166"/>
      <c r="I34" s="166"/>
      <c r="J34" s="166"/>
      <c r="K34" s="166"/>
    </row>
    <row r="35" spans="1:14" ht="18" customHeight="1">
      <c r="A35" s="44" t="s">
        <v>146</v>
      </c>
      <c r="B35" s="46">
        <f t="shared" si="29"/>
        <v>0</v>
      </c>
      <c r="C35" s="46">
        <f t="shared" si="29"/>
        <v>0</v>
      </c>
      <c r="D35" s="46">
        <f t="shared" si="32"/>
        <v>0</v>
      </c>
      <c r="E35" s="46">
        <f t="shared" si="32"/>
        <v>0</v>
      </c>
      <c r="F35" s="46">
        <f t="shared" si="32"/>
        <v>9.7804789553566405</v>
      </c>
      <c r="G35" s="46">
        <f t="shared" ref="G35" si="35">G9/G$3</f>
        <v>24.211291982596915</v>
      </c>
      <c r="H35" s="166"/>
      <c r="I35" s="166"/>
      <c r="J35" s="166"/>
      <c r="K35" s="166"/>
      <c r="L35" s="34"/>
    </row>
    <row r="36" spans="1:14" ht="18" customHeight="1">
      <c r="A36" s="44" t="s">
        <v>4</v>
      </c>
      <c r="B36" s="46">
        <f t="shared" si="29"/>
        <v>61.64281390614498</v>
      </c>
      <c r="C36" s="46">
        <f t="shared" si="29"/>
        <v>53.905017319753668</v>
      </c>
      <c r="D36" s="46">
        <f t="shared" si="32"/>
        <v>42.377683969843041</v>
      </c>
      <c r="E36" s="46">
        <f t="shared" si="32"/>
        <v>53.627015725580513</v>
      </c>
      <c r="F36" s="46">
        <f t="shared" si="32"/>
        <v>18.154575552481418</v>
      </c>
      <c r="G36" s="46">
        <f t="shared" ref="G36" si="36">G10/G$3</f>
        <v>26.78083287729892</v>
      </c>
      <c r="H36" s="166"/>
      <c r="I36" s="166"/>
      <c r="J36" s="166"/>
      <c r="K36" s="166"/>
      <c r="L36" s="34"/>
    </row>
    <row r="37" spans="1:14" ht="18" customHeight="1">
      <c r="A37" s="44" t="s">
        <v>6</v>
      </c>
      <c r="B37" s="46">
        <f t="shared" si="29"/>
        <v>11.245673043285693</v>
      </c>
      <c r="C37" s="46">
        <f t="shared" si="29"/>
        <v>10.325622681885742</v>
      </c>
      <c r="D37" s="46">
        <f t="shared" si="32"/>
        <v>9.9303331675586506</v>
      </c>
      <c r="E37" s="46">
        <f t="shared" si="32"/>
        <v>12.130742674020651</v>
      </c>
      <c r="F37" s="46">
        <f t="shared" si="32"/>
        <v>8.5834986567107414</v>
      </c>
      <c r="G37" s="46">
        <f t="shared" ref="G37" si="37">G11/G$3</f>
        <v>6.2999580960822756</v>
      </c>
      <c r="H37" s="166"/>
      <c r="I37" s="166"/>
      <c r="J37" s="166"/>
      <c r="K37" s="166"/>
      <c r="L37" s="34"/>
    </row>
    <row r="38" spans="1:14" ht="18" customHeight="1">
      <c r="A38" s="153" t="s">
        <v>369</v>
      </c>
      <c r="B38" s="155">
        <f>SUM(B34:B37)</f>
        <v>82.710223123554783</v>
      </c>
      <c r="C38" s="155">
        <f>SUM(C34:C37)</f>
        <v>75.202595354285123</v>
      </c>
      <c r="D38" s="155">
        <f t="shared" ref="D38" si="38">SUM(D34:D37)</f>
        <v>63.867162265705879</v>
      </c>
      <c r="E38" s="155">
        <f t="shared" ref="E38" si="39">SUM(E34:E37)</f>
        <v>77.316903527905353</v>
      </c>
      <c r="F38" s="155">
        <f t="shared" ref="F38:G38" si="40">SUM(F34:F37)</f>
        <v>48.077698292852986</v>
      </c>
      <c r="G38" s="155">
        <f t="shared" si="40"/>
        <v>67.113819130102215</v>
      </c>
    </row>
    <row r="39" spans="1:14" ht="18" customHeight="1">
      <c r="A39" s="44" t="s">
        <v>99</v>
      </c>
      <c r="B39" s="46">
        <f t="shared" ref="B39:C41" si="41">B13/B$3</f>
        <v>-9.821736174124112</v>
      </c>
      <c r="C39" s="46">
        <f t="shared" si="41"/>
        <v>-7.8676824233691454</v>
      </c>
      <c r="D39" s="46">
        <f t="shared" ref="D39:F39" si="42">D13/D$3</f>
        <v>-4.6928329222709122</v>
      </c>
      <c r="E39" s="46">
        <f t="shared" si="42"/>
        <v>-4.6928329222709122</v>
      </c>
      <c r="F39" s="46">
        <f t="shared" si="42"/>
        <v>-4.6928329222709113</v>
      </c>
      <c r="G39" s="46">
        <f t="shared" ref="G39" si="43">G13/G$3</f>
        <v>-9.8217361741241049</v>
      </c>
    </row>
    <row r="40" spans="1:14" ht="18" customHeight="1">
      <c r="A40" s="44" t="s">
        <v>200</v>
      </c>
      <c r="B40" s="46">
        <f t="shared" si="41"/>
        <v>-23.633881433766231</v>
      </c>
      <c r="C40" s="46">
        <f t="shared" si="41"/>
        <v>-23.633881433766231</v>
      </c>
      <c r="D40" s="46">
        <f t="shared" ref="D40:G41" si="44">D14/D$3</f>
        <v>-23.633881433766231</v>
      </c>
      <c r="E40" s="46">
        <f t="shared" si="44"/>
        <v>-23.633881433766231</v>
      </c>
      <c r="F40" s="46">
        <f t="shared" si="44"/>
        <v>-23.633881433766234</v>
      </c>
      <c r="G40" s="46">
        <f t="shared" si="44"/>
        <v>-23.633881433766238</v>
      </c>
    </row>
    <row r="41" spans="1:14" ht="18" customHeight="1">
      <c r="A41" s="44" t="s">
        <v>411</v>
      </c>
      <c r="B41" s="46">
        <f t="shared" si="41"/>
        <v>-25.334072164948456</v>
      </c>
      <c r="C41" s="46">
        <f t="shared" si="41"/>
        <v>-21.019091893396492</v>
      </c>
      <c r="D41" s="46">
        <f t="shared" si="44"/>
        <v>-15.789807894096754</v>
      </c>
      <c r="E41" s="46">
        <f t="shared" si="44"/>
        <v>-15.789807894096754</v>
      </c>
      <c r="F41" s="46">
        <f t="shared" si="44"/>
        <v>-15.789807894096755</v>
      </c>
      <c r="G41" s="46">
        <f t="shared" si="44"/>
        <v>-25.334072164948449</v>
      </c>
      <c r="L41" s="168"/>
    </row>
    <row r="42" spans="1:14" ht="18" customHeight="1">
      <c r="A42" s="44" t="s">
        <v>527</v>
      </c>
      <c r="B42" s="46">
        <f>B40+B41</f>
        <v>-48.967953598714686</v>
      </c>
      <c r="C42" s="46">
        <f>C40+C41</f>
        <v>-44.652973327162726</v>
      </c>
      <c r="D42" s="46">
        <f>D40+D41</f>
        <v>-39.423689327862988</v>
      </c>
      <c r="E42" s="46">
        <f t="shared" ref="E42:G42" si="45">E40+E41</f>
        <v>-39.423689327862988</v>
      </c>
      <c r="F42" s="46">
        <f t="shared" si="45"/>
        <v>-39.423689327862988</v>
      </c>
      <c r="G42" s="46">
        <f t="shared" si="45"/>
        <v>-48.967953598714686</v>
      </c>
      <c r="J42" s="34"/>
      <c r="K42" s="34"/>
      <c r="L42" s="34"/>
      <c r="M42" s="34"/>
      <c r="N42" s="34"/>
    </row>
    <row r="43" spans="1:14" ht="18" customHeight="1">
      <c r="A43" s="48" t="s">
        <v>76</v>
      </c>
      <c r="B43" s="50">
        <f>SUM(B39:B41,B34:B37)</f>
        <v>23.920533350715985</v>
      </c>
      <c r="C43" s="50">
        <f>SUM(C39,C34:C37,C42)</f>
        <v>22.68193960375325</v>
      </c>
      <c r="D43" s="50">
        <f>SUM(D39,D34:D37,D42)</f>
        <v>19.750640015571982</v>
      </c>
      <c r="E43" s="50">
        <f>SUM(E39,E34:E37,E42)</f>
        <v>33.200381277771456</v>
      </c>
      <c r="F43" s="50">
        <f>SUM(F39,F34:F37,F42)</f>
        <v>3.9611760427190887</v>
      </c>
      <c r="G43" s="50">
        <f>SUM(G39:G41,G34:G37)</f>
        <v>8.3241293572634163</v>
      </c>
      <c r="I43" s="167"/>
      <c r="J43" s="34"/>
    </row>
    <row r="44" spans="1:14" ht="18" customHeight="1">
      <c r="A44" s="17"/>
      <c r="C44" s="17"/>
      <c r="D44" s="17"/>
      <c r="E44" s="17"/>
      <c r="F44" s="17"/>
      <c r="G44" s="17"/>
      <c r="H44" s="34"/>
      <c r="I44" s="34"/>
      <c r="J44" s="34"/>
    </row>
    <row r="45" spans="1:14" ht="18" customHeight="1">
      <c r="A45" s="40" t="s">
        <v>114</v>
      </c>
      <c r="B45" s="51"/>
      <c r="C45" s="51"/>
      <c r="D45" s="51"/>
      <c r="E45" s="51"/>
      <c r="F45" s="51"/>
      <c r="G45" s="51"/>
    </row>
    <row r="46" spans="1:14" ht="18" customHeight="1">
      <c r="A46" s="47" t="s">
        <v>157</v>
      </c>
      <c r="B46" s="57">
        <f>B43/Intermediates!C147</f>
        <v>6.8870616705628098</v>
      </c>
      <c r="C46" s="57">
        <f>C43/Intermediates!D147</f>
        <v>6.5304529196191146</v>
      </c>
      <c r="D46" s="57">
        <f>D43/Intermediates!E147</f>
        <v>5.6864900889117678</v>
      </c>
      <c r="E46" s="57">
        <f>E43/Intermediates!F147</f>
        <v>9.5588618361373996</v>
      </c>
      <c r="F46" s="57">
        <f>F43/Intermediates!G147</f>
        <v>1.1404789054733071</v>
      </c>
      <c r="G46" s="57">
        <f>G43/Intermediates!H147</f>
        <v>2.3966352002556648</v>
      </c>
    </row>
    <row r="47" spans="1:14" ht="18" customHeight="1">
      <c r="A47" s="17"/>
      <c r="C47" s="17"/>
      <c r="D47" s="133"/>
      <c r="E47" s="17"/>
      <c r="F47" s="17"/>
    </row>
    <row r="48" spans="1:14" ht="18" customHeight="1">
      <c r="D48" s="269"/>
      <c r="E48" s="34"/>
      <c r="F48" s="34"/>
    </row>
    <row r="49" spans="3:11" ht="18" customHeight="1">
      <c r="C49" s="34"/>
      <c r="D49" s="34"/>
      <c r="E49" s="34"/>
      <c r="F49" s="34"/>
    </row>
    <row r="50" spans="3:11" ht="18" customHeight="1">
      <c r="C50" s="18"/>
      <c r="D50" s="18"/>
      <c r="E50" s="18"/>
      <c r="F50" s="18"/>
    </row>
    <row r="51" spans="3:11" ht="18" customHeight="1">
      <c r="C51" s="18"/>
      <c r="D51" s="18"/>
      <c r="E51" s="18"/>
      <c r="F51" s="18"/>
    </row>
    <row r="52" spans="3:11" ht="18" customHeight="1">
      <c r="H52" s="34"/>
    </row>
    <row r="53" spans="3:11" ht="18" customHeight="1">
      <c r="D53" s="34"/>
    </row>
    <row r="55" spans="3:11" ht="18" customHeight="1">
      <c r="C55" s="34"/>
      <c r="D55" s="34"/>
      <c r="E55" s="34"/>
      <c r="F55" s="34"/>
    </row>
    <row r="56" spans="3:11" ht="18" customHeight="1">
      <c r="C56" s="34"/>
      <c r="D56" s="34"/>
      <c r="E56" s="34"/>
      <c r="F56" s="34"/>
    </row>
    <row r="57" spans="3:11" ht="18" customHeight="1">
      <c r="C57" s="34"/>
      <c r="D57" s="34"/>
      <c r="E57" s="34"/>
      <c r="F57" s="34"/>
    </row>
    <row r="58" spans="3:11" ht="18" customHeight="1">
      <c r="C58" s="34"/>
      <c r="D58" s="34"/>
      <c r="E58" s="34"/>
      <c r="F58" s="34"/>
    </row>
    <row r="59" spans="3:11" ht="18" customHeight="1">
      <c r="C59" s="34"/>
      <c r="D59" s="34"/>
      <c r="E59" s="34"/>
      <c r="F59" s="34"/>
    </row>
    <row r="60" spans="3:11" ht="18" customHeight="1">
      <c r="C60" s="34"/>
      <c r="D60" s="34"/>
      <c r="E60" s="34"/>
      <c r="F60" s="34"/>
      <c r="K60" s="34"/>
    </row>
    <row r="62" spans="3:11" ht="18" customHeight="1">
      <c r="C62" s="131"/>
      <c r="D62" s="131"/>
      <c r="E62" s="131"/>
      <c r="F62" s="131"/>
    </row>
    <row r="63" spans="3:11" ht="18" customHeight="1">
      <c r="C63" s="131"/>
      <c r="D63" s="131"/>
      <c r="E63" s="131"/>
      <c r="F63" s="131"/>
    </row>
    <row r="64" spans="3:11" ht="18" customHeight="1">
      <c r="C64" s="131"/>
      <c r="D64" s="131"/>
      <c r="E64" s="131"/>
      <c r="F64" s="131"/>
    </row>
    <row r="65" spans="1:6" ht="18" customHeight="1">
      <c r="C65" s="131"/>
      <c r="D65" s="131"/>
      <c r="E65" s="131"/>
      <c r="F65" s="131"/>
    </row>
    <row r="66" spans="1:6" ht="18" customHeight="1">
      <c r="C66" s="131"/>
      <c r="D66" s="131"/>
      <c r="E66" s="131"/>
      <c r="F66" s="131"/>
    </row>
    <row r="69" spans="1:6" ht="18" customHeight="1">
      <c r="C69" s="18"/>
      <c r="D69" s="18"/>
      <c r="E69" s="18"/>
      <c r="F69" s="18"/>
    </row>
    <row r="70" spans="1:6" ht="18" customHeight="1">
      <c r="C70" s="34"/>
      <c r="D70" s="34"/>
      <c r="E70" s="34"/>
      <c r="F70" s="34"/>
    </row>
    <row r="71" spans="1:6" ht="18" customHeight="1">
      <c r="C71" s="18"/>
      <c r="D71" s="18"/>
      <c r="E71" s="18"/>
      <c r="F71" s="18"/>
    </row>
    <row r="72" spans="1:6" ht="18" customHeight="1">
      <c r="C72" s="18"/>
      <c r="D72" s="18"/>
      <c r="E72" s="18"/>
      <c r="F72" s="18"/>
    </row>
    <row r="73" spans="1:6" ht="18" customHeight="1">
      <c r="A73" s="18"/>
      <c r="B73" s="132"/>
      <c r="C73" s="18"/>
      <c r="D73" s="18"/>
      <c r="E73" s="18"/>
    </row>
    <row r="74" spans="1:6" ht="18" customHeight="1">
      <c r="A74" s="18"/>
      <c r="B74" s="132"/>
      <c r="C74" s="132"/>
      <c r="D74" s="132"/>
      <c r="E74" s="132"/>
      <c r="F74" s="17"/>
    </row>
    <row r="75" spans="1:6" ht="18" customHeight="1">
      <c r="C75" s="133"/>
      <c r="D75" s="133"/>
      <c r="E75" s="133"/>
      <c r="F75" s="133"/>
    </row>
    <row r="76" spans="1:6" ht="18" customHeight="1">
      <c r="C76" s="133"/>
      <c r="D76" s="133"/>
      <c r="E76" s="133"/>
      <c r="F76" s="133"/>
    </row>
    <row r="77" spans="1:6" ht="18" customHeight="1">
      <c r="C77" s="132"/>
      <c r="D77" s="132"/>
      <c r="E77" s="132"/>
      <c r="F77" s="132"/>
    </row>
    <row r="78" spans="1:6" ht="18" customHeight="1">
      <c r="C78" s="132"/>
      <c r="D78" s="132"/>
      <c r="E78" s="132"/>
      <c r="F78" s="132"/>
    </row>
    <row r="79" spans="1:6" ht="18" customHeight="1">
      <c r="C79" s="133"/>
      <c r="D79" s="133"/>
      <c r="E79" s="133"/>
      <c r="F79" s="133"/>
    </row>
    <row r="80" spans="1:6" ht="18" customHeight="1">
      <c r="C80" s="133"/>
      <c r="D80" s="133"/>
      <c r="E80" s="133"/>
      <c r="F80" s="133"/>
    </row>
    <row r="82" spans="3:6" ht="18" customHeight="1">
      <c r="C82" s="4"/>
      <c r="D82" s="4"/>
      <c r="E82" s="4"/>
      <c r="F82" s="4"/>
    </row>
    <row r="83" spans="3:6" ht="18" customHeight="1">
      <c r="C83" s="4"/>
      <c r="D83" s="4"/>
      <c r="E83" s="4"/>
      <c r="F83" s="4"/>
    </row>
    <row r="84" spans="3:6" ht="18" customHeight="1">
      <c r="C84" s="4"/>
      <c r="D84" s="4"/>
      <c r="E84" s="4"/>
      <c r="F84" s="4"/>
    </row>
    <row r="85" spans="3:6" ht="18" customHeight="1">
      <c r="C85" s="4"/>
      <c r="D85" s="4"/>
      <c r="E85" s="4"/>
      <c r="F85" s="4"/>
    </row>
    <row r="86" spans="3:6" ht="18" customHeight="1">
      <c r="C86" s="4"/>
      <c r="D86" s="4"/>
      <c r="E86" s="4"/>
      <c r="F86" s="4"/>
    </row>
    <row r="87" spans="3:6" ht="18" customHeight="1">
      <c r="C87" s="4"/>
      <c r="D87" s="4"/>
      <c r="E87" s="4"/>
      <c r="F87" s="4"/>
    </row>
    <row r="88" spans="3:6" ht="18" customHeight="1">
      <c r="C88" s="34"/>
    </row>
    <row r="89" spans="3:6" ht="18" customHeight="1">
      <c r="E89" s="18"/>
    </row>
    <row r="90" spans="3:6" ht="18" customHeight="1">
      <c r="E90" s="18"/>
      <c r="F90" s="120"/>
    </row>
    <row r="91" spans="3:6" ht="18" customHeight="1">
      <c r="E91" s="18"/>
    </row>
    <row r="93" spans="3:6" ht="18" customHeight="1">
      <c r="C93" s="34"/>
      <c r="E93" s="2"/>
    </row>
    <row r="94" spans="3:6" ht="18" customHeight="1">
      <c r="C94" s="34"/>
      <c r="E94" s="2"/>
    </row>
    <row r="95" spans="3:6" ht="18" customHeight="1">
      <c r="C95" s="34"/>
      <c r="E95" s="2"/>
    </row>
    <row r="96" spans="3:6" ht="18" customHeight="1">
      <c r="C96" s="18"/>
      <c r="E96" s="2"/>
    </row>
    <row r="97" spans="3:5" ht="18" customHeight="1">
      <c r="C97" s="18"/>
      <c r="E97" s="2"/>
    </row>
    <row r="98" spans="3:5" ht="18" customHeight="1">
      <c r="C98" s="34"/>
      <c r="E98" s="2"/>
    </row>
    <row r="99" spans="3:5" ht="18" customHeight="1">
      <c r="C99" s="34"/>
      <c r="E99" s="120"/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8"/>
  <sheetViews>
    <sheetView zoomScale="75" workbookViewId="0">
      <selection activeCell="I44" sqref="I44"/>
    </sheetView>
  </sheetViews>
  <sheetFormatPr defaultColWidth="11" defaultRowHeight="15.75"/>
  <cols>
    <col min="1" max="1" width="31.375" bestFit="1" customWidth="1"/>
    <col min="2" max="2" width="11.375" bestFit="1" customWidth="1"/>
    <col min="3" max="3" width="13.875" style="17" bestFit="1" customWidth="1"/>
    <col min="4" max="4" width="15.75" style="17" bestFit="1" customWidth="1"/>
    <col min="5" max="5" width="16.875" style="17" bestFit="1" customWidth="1"/>
    <col min="6" max="6" width="15.75" style="17" bestFit="1" customWidth="1"/>
    <col min="9" max="9" width="27.375" bestFit="1" customWidth="1"/>
  </cols>
  <sheetData>
    <row r="1" spans="1:16">
      <c r="A1" s="1" t="s">
        <v>543</v>
      </c>
    </row>
    <row r="2" spans="1:16">
      <c r="A2" s="99"/>
      <c r="B2" s="99"/>
      <c r="C2" s="100" t="s">
        <v>189</v>
      </c>
      <c r="D2" s="100" t="s">
        <v>190</v>
      </c>
      <c r="E2" s="100" t="s">
        <v>191</v>
      </c>
      <c r="F2" s="100" t="s">
        <v>192</v>
      </c>
    </row>
    <row r="3" spans="1:16">
      <c r="A3" s="121" t="s">
        <v>318</v>
      </c>
      <c r="B3" s="121" t="s">
        <v>293</v>
      </c>
      <c r="C3" s="122">
        <f>Intermediates!D18</f>
        <v>375.17240549302471</v>
      </c>
      <c r="D3" s="122">
        <f>Intermediates!E18</f>
        <v>1500.6896606558205</v>
      </c>
      <c r="E3" s="122">
        <f>Intermediates!F18</f>
        <v>1500.6896606558205</v>
      </c>
      <c r="F3" s="122">
        <f>Intermediates!G18</f>
        <v>7503.448303279104</v>
      </c>
    </row>
    <row r="4" spans="1:16">
      <c r="A4" s="121" t="s">
        <v>319</v>
      </c>
      <c r="B4" s="121" t="s">
        <v>314</v>
      </c>
      <c r="C4" s="123">
        <f>Inputs!D42</f>
        <v>6.7251045531656253</v>
      </c>
      <c r="D4" s="123">
        <f>Inputs!E42</f>
        <v>6.7251045531656253</v>
      </c>
      <c r="E4" s="123">
        <f>Inputs!F42</f>
        <v>6.7251045531656253</v>
      </c>
      <c r="F4" s="123">
        <f>Inputs!G42</f>
        <v>6.7251045531656253</v>
      </c>
    </row>
    <row r="5" spans="1:16">
      <c r="A5" s="121" t="s">
        <v>320</v>
      </c>
      <c r="B5" s="121" t="s">
        <v>310</v>
      </c>
      <c r="C5" s="122">
        <f t="shared" ref="C5:E5" si="0">C3/C4</f>
        <v>55.786850974149459</v>
      </c>
      <c r="D5" s="122">
        <f t="shared" si="0"/>
        <v>223.14740964873468</v>
      </c>
      <c r="E5" s="122">
        <f t="shared" si="0"/>
        <v>223.14740964873468</v>
      </c>
      <c r="F5" s="122">
        <f>F3/F4</f>
        <v>1115.7370482436736</v>
      </c>
    </row>
    <row r="6" spans="1:16">
      <c r="A6" s="69" t="s">
        <v>326</v>
      </c>
      <c r="B6" s="69" t="s">
        <v>196</v>
      </c>
      <c r="C6" s="127">
        <f t="shared" ref="C6:F6" si="1">C5*acperha</f>
        <v>137.85209809967202</v>
      </c>
      <c r="D6" s="127">
        <f t="shared" si="1"/>
        <v>551.40840661250581</v>
      </c>
      <c r="E6" s="127">
        <f t="shared" si="1"/>
        <v>551.40840661250581</v>
      </c>
      <c r="F6" s="127">
        <f t="shared" si="1"/>
        <v>2757.0420330625298</v>
      </c>
    </row>
    <row r="7" spans="1:16">
      <c r="A7" s="69" t="s">
        <v>316</v>
      </c>
      <c r="B7" s="69" t="s">
        <v>193</v>
      </c>
      <c r="C7" s="128">
        <f t="shared" ref="C7:F7" si="2">C8*literperm3/literpgal</f>
        <v>1940080.4668450709</v>
      </c>
      <c r="D7" s="128">
        <f t="shared" si="2"/>
        <v>1940080.4668450709</v>
      </c>
      <c r="E7" s="128">
        <f t="shared" si="2"/>
        <v>1940080.4668450709</v>
      </c>
      <c r="F7" s="128">
        <f t="shared" si="2"/>
        <v>9700402.3342253547</v>
      </c>
    </row>
    <row r="8" spans="1:16">
      <c r="A8" s="121" t="s">
        <v>317</v>
      </c>
      <c r="B8" s="121" t="s">
        <v>313</v>
      </c>
      <c r="C8" s="122">
        <f>Inputs!D14*Inputs!D20*Inputs!D23*Inputs!D21/literperm3</f>
        <v>7344</v>
      </c>
      <c r="D8" s="122">
        <f>Inputs!E14*Inputs!E20*Inputs!E23*Inputs!E21/literperm3</f>
        <v>7344</v>
      </c>
      <c r="E8" s="122">
        <f>Inputs!F14*Inputs!F20*Inputs!F23*Inputs!F21/literperm3</f>
        <v>7344</v>
      </c>
      <c r="F8" s="122">
        <f>Inputs!G14*Inputs!G20*Inputs!G23*Inputs!G21/literperm3</f>
        <v>36720</v>
      </c>
    </row>
    <row r="9" spans="1:16">
      <c r="A9" s="69" t="s">
        <v>307</v>
      </c>
      <c r="B9" s="69" t="s">
        <v>197</v>
      </c>
      <c r="C9" s="68">
        <v>0.05</v>
      </c>
      <c r="D9" s="68">
        <v>0.05</v>
      </c>
      <c r="E9" s="68">
        <v>0.05</v>
      </c>
      <c r="F9" s="68">
        <v>0.05</v>
      </c>
      <c r="K9" s="120"/>
      <c r="L9" s="120"/>
      <c r="M9" s="120"/>
      <c r="N9" s="120"/>
      <c r="O9" s="120"/>
      <c r="P9" s="120"/>
    </row>
    <row r="10" spans="1:16">
      <c r="A10" s="121" t="s">
        <v>315</v>
      </c>
      <c r="B10" s="121" t="s">
        <v>328</v>
      </c>
      <c r="C10" s="130">
        <f t="shared" ref="C10:F10" si="3">C9/lbperkg/literpgal*literperm3/kilo</f>
        <v>5.9913313146480792E-3</v>
      </c>
      <c r="D10" s="130">
        <f t="shared" si="3"/>
        <v>5.9913313146480792E-3</v>
      </c>
      <c r="E10" s="130">
        <f t="shared" si="3"/>
        <v>5.9913313146480792E-3</v>
      </c>
      <c r="F10" s="130">
        <f t="shared" si="3"/>
        <v>5.9913313146480792E-3</v>
      </c>
    </row>
    <row r="11" spans="1:16">
      <c r="A11" s="121" t="s">
        <v>491</v>
      </c>
      <c r="B11" s="121" t="s">
        <v>475</v>
      </c>
      <c r="C11" s="130">
        <f>Intermediates!D128</f>
        <v>2251.0344329581485</v>
      </c>
      <c r="D11" s="130">
        <f>Intermediates!E128</f>
        <v>9004.1379639349234</v>
      </c>
      <c r="E11" s="130">
        <f>Intermediates!F128</f>
        <v>9004.1379639349234</v>
      </c>
      <c r="F11" s="130">
        <f>Intermediates!G128</f>
        <v>45020.689819674626</v>
      </c>
    </row>
    <row r="12" spans="1:16">
      <c r="A12" s="121"/>
      <c r="B12" s="121" t="s">
        <v>195</v>
      </c>
      <c r="C12" s="130">
        <f>C11*lbsperkg</f>
        <v>4962.6755315881928</v>
      </c>
      <c r="D12" s="130">
        <f>D11*lbsperkg</f>
        <v>19850.70263805021</v>
      </c>
      <c r="E12" s="130">
        <f>E11*lbsperkg</f>
        <v>19850.70263805021</v>
      </c>
      <c r="F12" s="130">
        <f>F11*lbsperkg</f>
        <v>99253.513190251062</v>
      </c>
    </row>
    <row r="13" spans="1:16">
      <c r="A13" s="69" t="s">
        <v>308</v>
      </c>
      <c r="B13" s="69" t="s">
        <v>195</v>
      </c>
      <c r="C13" s="128">
        <f>C7*C9+C12</f>
        <v>101966.69887384174</v>
      </c>
      <c r="D13" s="128">
        <f t="shared" ref="D13:F14" si="4">D7*D9</f>
        <v>97004.023342253553</v>
      </c>
      <c r="E13" s="128">
        <f t="shared" si="4"/>
        <v>97004.023342253553</v>
      </c>
      <c r="F13" s="128">
        <f t="shared" si="4"/>
        <v>485020.11671126774</v>
      </c>
    </row>
    <row r="14" spans="1:16">
      <c r="A14" s="121" t="s">
        <v>325</v>
      </c>
      <c r="B14" s="121" t="s">
        <v>293</v>
      </c>
      <c r="C14" s="122">
        <f>C8*C10</f>
        <v>44.000337174775495</v>
      </c>
      <c r="D14" s="122">
        <f t="shared" si="4"/>
        <v>44.000337174775495</v>
      </c>
      <c r="E14" s="122">
        <f t="shared" si="4"/>
        <v>44.000337174775495</v>
      </c>
      <c r="F14" s="122">
        <f t="shared" si="4"/>
        <v>220.00168587387748</v>
      </c>
    </row>
    <row r="15" spans="1:16">
      <c r="A15" s="69" t="s">
        <v>312</v>
      </c>
      <c r="B15" s="69" t="s">
        <v>194</v>
      </c>
      <c r="C15" s="68">
        <v>150</v>
      </c>
      <c r="D15" s="68">
        <v>150</v>
      </c>
      <c r="E15" s="68">
        <v>150</v>
      </c>
      <c r="F15" s="68">
        <v>150</v>
      </c>
    </row>
    <row r="16" spans="1:16">
      <c r="A16" s="121" t="s">
        <v>311</v>
      </c>
      <c r="B16" s="121" t="s">
        <v>314</v>
      </c>
      <c r="C16" s="124">
        <f>Inputs!D39/kilo</f>
        <v>0.16812761382914063</v>
      </c>
      <c r="D16" s="124">
        <f>Inputs!E39/kilo</f>
        <v>0.16812761382914063</v>
      </c>
      <c r="E16" s="124">
        <f>Inputs!F39/kilo</f>
        <v>0.16812761382914063</v>
      </c>
      <c r="F16" s="124">
        <f>Inputs!G39/kilo</f>
        <v>0.16812761382914063</v>
      </c>
    </row>
    <row r="17" spans="1:6">
      <c r="A17" s="69" t="s">
        <v>323</v>
      </c>
      <c r="B17" s="69" t="s">
        <v>196</v>
      </c>
      <c r="C17" s="129">
        <f t="shared" ref="C17:F18" si="5">C13/C15</f>
        <v>679.77799249227826</v>
      </c>
      <c r="D17" s="129">
        <f t="shared" si="5"/>
        <v>646.69348894835707</v>
      </c>
      <c r="E17" s="129">
        <f t="shared" si="5"/>
        <v>646.69348894835707</v>
      </c>
      <c r="F17" s="129">
        <f t="shared" si="5"/>
        <v>3233.4674447417851</v>
      </c>
    </row>
    <row r="18" spans="1:6">
      <c r="A18" s="121" t="s">
        <v>324</v>
      </c>
      <c r="B18" s="121" t="s">
        <v>310</v>
      </c>
      <c r="C18" s="125">
        <f>C14/C16</f>
        <v>261.7079739173052</v>
      </c>
      <c r="D18" s="125">
        <f t="shared" si="5"/>
        <v>261.7079739173052</v>
      </c>
      <c r="E18" s="125">
        <f t="shared" si="5"/>
        <v>261.7079739173052</v>
      </c>
      <c r="F18" s="125">
        <f t="shared" si="5"/>
        <v>1308.539869586526</v>
      </c>
    </row>
    <row r="19" spans="1:6">
      <c r="A19" s="116" t="s">
        <v>327</v>
      </c>
      <c r="B19" s="116"/>
      <c r="C19" s="126">
        <f t="shared" ref="C19:F19" si="6">C5/C18</f>
        <v>0.21316450599161743</v>
      </c>
      <c r="D19" s="126">
        <f>D5/D18</f>
        <v>0.85265804594568861</v>
      </c>
      <c r="E19" s="126">
        <f t="shared" si="6"/>
        <v>0.85265804594568861</v>
      </c>
      <c r="F19" s="126">
        <f t="shared" si="6"/>
        <v>0.85265804594568873</v>
      </c>
    </row>
    <row r="20" spans="1:6">
      <c r="A20" s="116" t="s">
        <v>327</v>
      </c>
      <c r="B20" s="116"/>
      <c r="C20" s="126">
        <f t="shared" ref="C20:F20" si="7">C6/C17</f>
        <v>0.2027898808466323</v>
      </c>
      <c r="D20" s="126">
        <f t="shared" si="7"/>
        <v>0.8526580459456885</v>
      </c>
      <c r="E20" s="126">
        <f t="shared" si="7"/>
        <v>0.8526580459456885</v>
      </c>
      <c r="F20" s="126">
        <f t="shared" si="7"/>
        <v>0.85265804594568873</v>
      </c>
    </row>
    <row r="21" spans="1:6">
      <c r="C21" s="4"/>
      <c r="D21" s="4"/>
      <c r="E21" s="4"/>
      <c r="F21" s="4"/>
    </row>
    <row r="22" spans="1:6">
      <c r="A22" s="1" t="s">
        <v>544</v>
      </c>
      <c r="B22" s="235"/>
      <c r="C22" s="236"/>
      <c r="D22" s="236"/>
      <c r="E22" s="236"/>
      <c r="F22" s="236"/>
    </row>
    <row r="23" spans="1:6">
      <c r="A23" t="s">
        <v>492</v>
      </c>
      <c r="B23" s="235" t="s">
        <v>293</v>
      </c>
      <c r="C23" s="237">
        <f>Intermediates!D18</f>
        <v>375.17240549302471</v>
      </c>
      <c r="D23" s="237">
        <f>Intermediates!E18</f>
        <v>1500.6896606558205</v>
      </c>
      <c r="E23" s="237">
        <f>Intermediates!F18</f>
        <v>1500.6896606558205</v>
      </c>
      <c r="F23" s="237">
        <f>Intermediates!G18</f>
        <v>7503.448303279104</v>
      </c>
    </row>
    <row r="24" spans="1:6">
      <c r="A24" t="s">
        <v>495</v>
      </c>
      <c r="B24" s="235" t="s">
        <v>314</v>
      </c>
      <c r="C24" s="238">
        <f>Inputs!D42</f>
        <v>6.7251045531656253</v>
      </c>
      <c r="D24" s="238">
        <f>Inputs!E42</f>
        <v>6.7251045531656253</v>
      </c>
      <c r="E24" s="238">
        <f>Inputs!F42</f>
        <v>6.7251045531656253</v>
      </c>
      <c r="F24" s="238">
        <f>Inputs!G42</f>
        <v>6.7251045531656253</v>
      </c>
    </row>
    <row r="25" spans="1:6">
      <c r="A25" t="s">
        <v>493</v>
      </c>
      <c r="B25" s="235" t="s">
        <v>494</v>
      </c>
      <c r="C25" s="239">
        <f>Intermediates!D127</f>
        <v>6</v>
      </c>
      <c r="D25" s="239">
        <f>Intermediates!E127</f>
        <v>6</v>
      </c>
      <c r="E25" s="239">
        <f>Intermediates!F127</f>
        <v>6</v>
      </c>
      <c r="F25" s="239">
        <f>Intermediates!G127</f>
        <v>6</v>
      </c>
    </row>
    <row r="26" spans="1:6">
      <c r="A26" t="s">
        <v>474</v>
      </c>
      <c r="B26" s="235" t="s">
        <v>498</v>
      </c>
      <c r="C26" s="236">
        <f>C25*(C23/1000)</f>
        <v>2.2510344329581482</v>
      </c>
      <c r="D26" s="236">
        <f t="shared" ref="D26:F26" si="8">D25*(D23/1000)</f>
        <v>9.0041379639349231</v>
      </c>
      <c r="E26" s="236">
        <f t="shared" si="8"/>
        <v>9.0041379639349231</v>
      </c>
      <c r="F26" s="236">
        <f t="shared" si="8"/>
        <v>45.020689819674622</v>
      </c>
    </row>
    <row r="27" spans="1:6">
      <c r="A27" t="s">
        <v>428</v>
      </c>
      <c r="B27" s="235" t="s">
        <v>313</v>
      </c>
      <c r="C27" s="237">
        <f>Intermediates!D9</f>
        <v>7344.0000000000009</v>
      </c>
      <c r="D27" s="237">
        <f>Intermediates!E9</f>
        <v>7344.0000000000009</v>
      </c>
      <c r="E27" s="237">
        <f>Intermediates!F9</f>
        <v>7344.0000000000009</v>
      </c>
      <c r="F27" s="237">
        <f>Intermediates!G9</f>
        <v>36720</v>
      </c>
    </row>
    <row r="28" spans="1:6">
      <c r="A28" t="s">
        <v>496</v>
      </c>
      <c r="B28" s="235" t="s">
        <v>328</v>
      </c>
      <c r="C28" s="240">
        <f>C10</f>
        <v>5.9913313146480792E-3</v>
      </c>
      <c r="D28" s="240">
        <f t="shared" ref="D28:F28" si="9">D10</f>
        <v>5.9913313146480792E-3</v>
      </c>
      <c r="E28" s="240">
        <f t="shared" si="9"/>
        <v>5.9913313146480792E-3</v>
      </c>
      <c r="F28" s="240">
        <f t="shared" si="9"/>
        <v>5.9913313146480792E-3</v>
      </c>
    </row>
    <row r="29" spans="1:6">
      <c r="A29" t="s">
        <v>497</v>
      </c>
      <c r="B29" s="235" t="s">
        <v>293</v>
      </c>
      <c r="C29" s="236">
        <f>C28*C27</f>
        <v>44.000337174775503</v>
      </c>
      <c r="D29" s="236">
        <f t="shared" ref="D29:F29" si="10">D28*D27</f>
        <v>44.000337174775503</v>
      </c>
      <c r="E29" s="236">
        <f t="shared" si="10"/>
        <v>44.000337174775503</v>
      </c>
      <c r="F29" s="236">
        <f t="shared" si="10"/>
        <v>220.00168587387748</v>
      </c>
    </row>
    <row r="30" spans="1:6">
      <c r="A30" t="s">
        <v>499</v>
      </c>
      <c r="B30" s="235" t="s">
        <v>310</v>
      </c>
      <c r="C30" s="237">
        <f>C23/C24</f>
        <v>55.786850974149459</v>
      </c>
      <c r="D30" s="237">
        <f t="shared" ref="D30:F30" si="11">D23/D24</f>
        <v>223.14740964873468</v>
      </c>
      <c r="E30" s="237">
        <f t="shared" si="11"/>
        <v>223.14740964873468</v>
      </c>
      <c r="F30" s="237">
        <f t="shared" si="11"/>
        <v>1115.7370482436736</v>
      </c>
    </row>
    <row r="31" spans="1:6">
      <c r="A31" t="s">
        <v>500</v>
      </c>
      <c r="B31" s="235" t="s">
        <v>498</v>
      </c>
      <c r="C31" s="236">
        <f>C26+C29</f>
        <v>46.251371607733653</v>
      </c>
      <c r="D31" s="236">
        <f>D26+D29</f>
        <v>53.004475138710426</v>
      </c>
      <c r="E31" s="236">
        <f t="shared" ref="E31:F31" si="12">E26+E29</f>
        <v>53.004475138710426</v>
      </c>
      <c r="F31" s="236">
        <f t="shared" si="12"/>
        <v>265.02237569355208</v>
      </c>
    </row>
    <row r="32" spans="1:6">
      <c r="A32" t="s">
        <v>501</v>
      </c>
      <c r="B32" s="235" t="s">
        <v>502</v>
      </c>
      <c r="C32" s="239">
        <f>C16</f>
        <v>0.16812761382914063</v>
      </c>
      <c r="D32" s="239">
        <f t="shared" ref="D32:F32" si="13">D16</f>
        <v>0.16812761382914063</v>
      </c>
      <c r="E32" s="239">
        <f t="shared" si="13"/>
        <v>0.16812761382914063</v>
      </c>
      <c r="F32" s="239">
        <f t="shared" si="13"/>
        <v>0.16812761382914063</v>
      </c>
    </row>
    <row r="33" spans="1:6">
      <c r="A33" t="s">
        <v>503</v>
      </c>
      <c r="B33" s="235" t="s">
        <v>504</v>
      </c>
      <c r="C33" s="241">
        <f>C31/C32</f>
        <v>275.0968181511011</v>
      </c>
      <c r="D33" s="241">
        <f>D31/D32</f>
        <v>315.26335223300157</v>
      </c>
      <c r="E33" s="241">
        <f t="shared" ref="E33:F33" si="14">E31/E32</f>
        <v>315.26335223300157</v>
      </c>
      <c r="F33" s="241">
        <f t="shared" si="14"/>
        <v>1576.3167611650076</v>
      </c>
    </row>
    <row r="34" spans="1:6">
      <c r="A34" t="s">
        <v>505</v>
      </c>
      <c r="B34" s="235"/>
      <c r="C34" s="115">
        <f>C30/C33</f>
        <v>0.20278988084663227</v>
      </c>
      <c r="D34" s="115">
        <f t="shared" ref="D34:F34" si="15">D30/D33</f>
        <v>0.70781271615678698</v>
      </c>
      <c r="E34" s="115">
        <f t="shared" si="15"/>
        <v>0.70781271615678698</v>
      </c>
      <c r="F34" s="115">
        <f t="shared" si="15"/>
        <v>0.7078127161567872</v>
      </c>
    </row>
    <row r="35" spans="1:6">
      <c r="B35" s="235"/>
      <c r="C35" s="242"/>
      <c r="D35" s="242"/>
      <c r="E35" s="242"/>
      <c r="F35" s="242"/>
    </row>
    <row r="36" spans="1:6">
      <c r="B36" s="235"/>
      <c r="C36" s="242">
        <f>C30*acperha</f>
        <v>137.85209809967202</v>
      </c>
      <c r="D36" s="242">
        <f>D30*acperha</f>
        <v>551.40840661250581</v>
      </c>
      <c r="E36" s="242">
        <f>E30*acperha</f>
        <v>551.40840661250581</v>
      </c>
      <c r="F36" s="242">
        <f>F30*acperha</f>
        <v>2757.0420330625298</v>
      </c>
    </row>
    <row r="37" spans="1:6">
      <c r="B37" s="235"/>
      <c r="C37" s="242"/>
      <c r="D37" s="242"/>
      <c r="E37" s="242"/>
      <c r="F37" s="242"/>
    </row>
    <row r="38" spans="1:6">
      <c r="B38" s="235"/>
      <c r="C38" s="242"/>
      <c r="D38" s="242"/>
      <c r="E38" s="242"/>
      <c r="F38" s="242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"/>
  <sheetViews>
    <sheetView workbookViewId="0">
      <selection activeCell="D19" sqref="D19"/>
    </sheetView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1:Q53"/>
  <sheetViews>
    <sheetView zoomScale="60" zoomScaleNormal="60" workbookViewId="0">
      <selection activeCell="O55" sqref="O55"/>
    </sheetView>
  </sheetViews>
  <sheetFormatPr defaultRowHeight="15.75"/>
  <cols>
    <col min="1" max="1" width="24.25" style="6" bestFit="1" customWidth="1"/>
    <col min="2" max="2" width="12.5" style="17" hidden="1" customWidth="1"/>
    <col min="3" max="3" width="12.5" style="17" bestFit="1" customWidth="1"/>
    <col min="5" max="5" width="15.625" bestFit="1" customWidth="1"/>
    <col min="6" max="6" width="9" hidden="1" customWidth="1"/>
    <col min="7" max="7" width="11.875" bestFit="1" customWidth="1"/>
    <col min="9" max="9" width="17.75" customWidth="1"/>
    <col min="10" max="10" width="9" hidden="1" customWidth="1"/>
    <col min="11" max="11" width="11.875" bestFit="1" customWidth="1"/>
    <col min="13" max="13" width="15.625" bestFit="1" customWidth="1"/>
    <col min="14" max="14" width="10.875" hidden="1" customWidth="1"/>
    <col min="15" max="15" width="11.875" bestFit="1" customWidth="1"/>
  </cols>
  <sheetData>
    <row r="1" spans="1:17">
      <c r="A1" s="231" t="s">
        <v>93</v>
      </c>
      <c r="B1" s="68"/>
      <c r="C1" s="68"/>
      <c r="E1" s="223" t="s">
        <v>78</v>
      </c>
      <c r="F1" s="223"/>
      <c r="G1" s="223"/>
      <c r="I1" s="226" t="s">
        <v>78</v>
      </c>
      <c r="J1" s="226"/>
      <c r="K1" s="226"/>
      <c r="M1" s="116" t="s">
        <v>78</v>
      </c>
      <c r="N1" s="116"/>
      <c r="O1" s="116"/>
    </row>
    <row r="2" spans="1:17">
      <c r="A2" s="67" t="s">
        <v>523</v>
      </c>
      <c r="C2" s="68">
        <v>2.5</v>
      </c>
      <c r="E2" s="63" t="s">
        <v>537</v>
      </c>
      <c r="G2" s="222">
        <v>1000000</v>
      </c>
      <c r="I2" s="58" t="s">
        <v>537</v>
      </c>
      <c r="J2" s="58"/>
      <c r="K2" s="228">
        <v>80000</v>
      </c>
      <c r="M2" s="116" t="s">
        <v>537</v>
      </c>
      <c r="N2" s="116"/>
      <c r="O2" s="229">
        <v>600000</v>
      </c>
    </row>
    <row r="3" spans="1:17">
      <c r="A3" s="67" t="s">
        <v>524</v>
      </c>
      <c r="C3" s="43">
        <f>Results!F43</f>
        <v>3.9611760427190887</v>
      </c>
      <c r="E3" s="63" t="s">
        <v>526</v>
      </c>
      <c r="G3" s="63">
        <v>2.5</v>
      </c>
      <c r="I3" s="58" t="s">
        <v>526</v>
      </c>
      <c r="J3" s="58"/>
      <c r="K3" s="58">
        <v>2.5</v>
      </c>
      <c r="M3" s="116" t="s">
        <v>526</v>
      </c>
      <c r="N3" s="116"/>
      <c r="O3" s="116">
        <v>2.5</v>
      </c>
    </row>
    <row r="4" spans="1:17">
      <c r="A4" s="67"/>
      <c r="B4" s="68"/>
      <c r="C4" s="68"/>
      <c r="E4" s="63" t="s">
        <v>524</v>
      </c>
      <c r="G4" s="225">
        <f>Results!E43</f>
        <v>33.200381277771456</v>
      </c>
      <c r="I4" s="58" t="s">
        <v>524</v>
      </c>
      <c r="J4" s="58"/>
      <c r="K4" s="227">
        <f>Results!E43</f>
        <v>33.200381277771456</v>
      </c>
      <c r="M4" s="116" t="s">
        <v>524</v>
      </c>
      <c r="N4" s="116"/>
      <c r="O4" s="116">
        <f>Results!E43</f>
        <v>33.200381277771456</v>
      </c>
    </row>
    <row r="5" spans="1:17">
      <c r="A5" s="67" t="s">
        <v>525</v>
      </c>
      <c r="B5" s="68" t="s">
        <v>538</v>
      </c>
      <c r="C5" s="68" t="s">
        <v>522</v>
      </c>
      <c r="E5" s="62" t="s">
        <v>525</v>
      </c>
      <c r="F5" s="62" t="s">
        <v>538</v>
      </c>
      <c r="G5" s="62" t="s">
        <v>522</v>
      </c>
      <c r="I5" s="59" t="s">
        <v>525</v>
      </c>
      <c r="J5" s="59" t="s">
        <v>538</v>
      </c>
      <c r="K5" s="59" t="s">
        <v>522</v>
      </c>
      <c r="M5" s="230" t="s">
        <v>525</v>
      </c>
      <c r="N5" s="230" t="s">
        <v>538</v>
      </c>
      <c r="O5" s="230" t="s">
        <v>522</v>
      </c>
    </row>
    <row r="6" spans="1:17">
      <c r="A6" s="67">
        <f>C2</f>
        <v>2.5</v>
      </c>
      <c r="B6" s="43">
        <f>C3</f>
        <v>3.9611760427190887</v>
      </c>
      <c r="C6" s="224">
        <v>3.9611763741510231</v>
      </c>
      <c r="E6" s="62">
        <f>G3</f>
        <v>2.5</v>
      </c>
      <c r="F6" s="63">
        <f>G4</f>
        <v>33.200381277771456</v>
      </c>
      <c r="G6" s="225">
        <v>33.200381277771456</v>
      </c>
      <c r="I6" s="59">
        <f>K3</f>
        <v>2.5</v>
      </c>
      <c r="J6" s="58">
        <f>K4</f>
        <v>33.200381277771456</v>
      </c>
      <c r="K6" s="227">
        <v>6.623369118459749</v>
      </c>
      <c r="M6" s="230">
        <f>O3</f>
        <v>2.5</v>
      </c>
      <c r="N6" s="116">
        <f>O4</f>
        <v>33.200381277771456</v>
      </c>
      <c r="O6" s="232">
        <v>17.997168096774743</v>
      </c>
      <c r="Q6">
        <f>M6*1.60934</f>
        <v>4.0233499999999998</v>
      </c>
    </row>
    <row r="7" spans="1:17">
      <c r="A7" s="67">
        <v>0</v>
      </c>
      <c r="B7" s="68">
        <f t="dataTable" ref="B7:B47" dt2D="0" dtr="0" r1="C2"/>
        <v>3.9611760427190887</v>
      </c>
      <c r="C7" s="224">
        <v>-3.7957460315163019</v>
      </c>
      <c r="E7" s="62">
        <v>0</v>
      </c>
      <c r="F7" s="63">
        <f t="dataTable" ref="F7:F47" dt2D="0" dtr="0" r1="G3"/>
        <v>33.200381277771456</v>
      </c>
      <c r="G7" s="225">
        <v>2.0627430999124812</v>
      </c>
      <c r="I7" s="59">
        <v>0</v>
      </c>
      <c r="J7" s="58">
        <f t="dataTable" ref="J7:J47" dt2D="0" dtr="0" r1="K3"/>
        <v>33.200381277771456</v>
      </c>
      <c r="K7" s="227">
        <v>2.0627430999124812</v>
      </c>
      <c r="M7" s="230">
        <v>0</v>
      </c>
      <c r="N7" s="116">
        <f t="dataTable" ref="N7:N47" dt2D="0" dtr="0" r1="O3"/>
        <v>33.200381277771456</v>
      </c>
      <c r="O7" s="232">
        <v>0.57208188916827396</v>
      </c>
      <c r="Q7">
        <f t="shared" ref="Q7:Q47" si="0">M7*1.60934</f>
        <v>0</v>
      </c>
    </row>
    <row r="8" spans="1:17">
      <c r="A8" s="67">
        <f>A7+0.5</f>
        <v>0.5</v>
      </c>
      <c r="B8" s="68">
        <v>3.9611760427190887</v>
      </c>
      <c r="C8" s="224">
        <v>-2.2443615503828411</v>
      </c>
      <c r="E8" s="62">
        <f>E7+0.5</f>
        <v>0.5</v>
      </c>
      <c r="F8" s="63">
        <v>33.200381277771456</v>
      </c>
      <c r="G8" s="225">
        <v>10.089935921848237</v>
      </c>
      <c r="I8" s="59">
        <f>I7+0.5</f>
        <v>0.5</v>
      </c>
      <c r="J8" s="58">
        <v>33.200381277771456</v>
      </c>
      <c r="K8" s="227">
        <v>4.7745334899858847</v>
      </c>
      <c r="M8" s="230">
        <f>M7+0.5</f>
        <v>0.5</v>
      </c>
      <c r="N8" s="116">
        <v>33.200381277771456</v>
      </c>
      <c r="O8" s="232">
        <v>4.1309008832208107</v>
      </c>
      <c r="Q8">
        <f t="shared" si="0"/>
        <v>0.80467</v>
      </c>
    </row>
    <row r="9" spans="1:17">
      <c r="A9" s="67">
        <v>1</v>
      </c>
      <c r="B9" s="68">
        <v>3.9611760427190887</v>
      </c>
      <c r="C9" s="224">
        <v>-0.6929770692493733</v>
      </c>
      <c r="E9" s="62">
        <v>1</v>
      </c>
      <c r="F9" s="63">
        <v>33.200381277771456</v>
      </c>
      <c r="G9" s="225">
        <v>15.867547260829042</v>
      </c>
      <c r="I9" s="59">
        <v>1</v>
      </c>
      <c r="J9" s="58">
        <v>33.200381277771456</v>
      </c>
      <c r="K9" s="227">
        <v>5.2367423971043578</v>
      </c>
      <c r="M9" s="230">
        <v>1</v>
      </c>
      <c r="N9" s="116">
        <v>33.200381277771456</v>
      </c>
      <c r="O9" s="232">
        <v>7.597467686609285</v>
      </c>
      <c r="Q9">
        <f t="shared" si="0"/>
        <v>1.60934</v>
      </c>
    </row>
    <row r="10" spans="1:17">
      <c r="A10" s="67">
        <f t="shared" ref="A10" si="1">A9+0.5</f>
        <v>1.5</v>
      </c>
      <c r="B10" s="68">
        <v>3.9611760427190887</v>
      </c>
      <c r="C10" s="224">
        <v>0.85840741188408742</v>
      </c>
      <c r="E10" s="62">
        <f t="shared" ref="E10" si="2">E9+0.5</f>
        <v>1.5</v>
      </c>
      <c r="F10" s="63">
        <v>33.200381277771456</v>
      </c>
      <c r="G10" s="225">
        <v>21.645158599809847</v>
      </c>
      <c r="I10" s="59">
        <f t="shared" ref="I10" si="3">I9+0.5</f>
        <v>1.5</v>
      </c>
      <c r="J10" s="58">
        <v>33.200381277771456</v>
      </c>
      <c r="K10" s="227">
        <v>5.6989513042228239</v>
      </c>
      <c r="M10" s="230">
        <f t="shared" ref="M10" si="4">M9+0.5</f>
        <v>1.5</v>
      </c>
      <c r="N10" s="116">
        <v>33.200381277771456</v>
      </c>
      <c r="O10" s="232">
        <v>11.06403448999778</v>
      </c>
      <c r="Q10">
        <f t="shared" si="0"/>
        <v>2.4140100000000002</v>
      </c>
    </row>
    <row r="11" spans="1:17">
      <c r="A11" s="67">
        <v>2</v>
      </c>
      <c r="B11" s="68">
        <v>3.9611760427190887</v>
      </c>
      <c r="C11" s="224">
        <v>2.4097918930175553</v>
      </c>
      <c r="E11" s="62">
        <v>2</v>
      </c>
      <c r="F11" s="63">
        <v>33.200381277771456</v>
      </c>
      <c r="G11" s="225">
        <v>27.422769938790651</v>
      </c>
      <c r="I11" s="59">
        <v>2</v>
      </c>
      <c r="J11" s="58">
        <v>33.200381277771456</v>
      </c>
      <c r="K11" s="227">
        <v>6.1611602113412829</v>
      </c>
      <c r="M11" s="230">
        <v>2</v>
      </c>
      <c r="N11" s="116">
        <v>33.200381277771456</v>
      </c>
      <c r="O11" s="232">
        <v>14.530601293386269</v>
      </c>
      <c r="Q11">
        <f t="shared" si="0"/>
        <v>3.21868</v>
      </c>
    </row>
    <row r="12" spans="1:17">
      <c r="A12" s="67">
        <f t="shared" ref="A12" si="5">A11+0.5</f>
        <v>2.5</v>
      </c>
      <c r="B12" s="68">
        <v>3.9611760427190887</v>
      </c>
      <c r="C12" s="224">
        <v>3.9611763741510231</v>
      </c>
      <c r="E12" s="62">
        <f t="shared" ref="E12" si="6">E11+0.5</f>
        <v>2.5</v>
      </c>
      <c r="F12" s="63">
        <v>33.200381277771456</v>
      </c>
      <c r="G12" s="225">
        <v>33.200381277771456</v>
      </c>
      <c r="I12" s="59">
        <f t="shared" ref="I12" si="7">I11+0.5</f>
        <v>2.5</v>
      </c>
      <c r="J12" s="58">
        <v>33.200381277771456</v>
      </c>
      <c r="K12" s="227">
        <v>6.623369118459749</v>
      </c>
      <c r="M12" s="230">
        <f t="shared" ref="M12" si="8">M11+0.5</f>
        <v>2.5</v>
      </c>
      <c r="N12" s="116">
        <v>33.200381277771456</v>
      </c>
      <c r="O12" s="232">
        <v>17.997168096774743</v>
      </c>
      <c r="Q12">
        <f t="shared" si="0"/>
        <v>4.0233499999999998</v>
      </c>
    </row>
    <row r="13" spans="1:17">
      <c r="A13" s="67">
        <v>3</v>
      </c>
      <c r="B13" s="68">
        <v>3.9611760427190887</v>
      </c>
      <c r="C13" s="224">
        <v>5.5125608552844909</v>
      </c>
      <c r="E13" s="62">
        <v>3</v>
      </c>
      <c r="F13" s="63">
        <v>33.200381277771456</v>
      </c>
      <c r="G13" s="225">
        <v>38.977992616752275</v>
      </c>
      <c r="I13" s="59">
        <v>3</v>
      </c>
      <c r="J13" s="58">
        <v>33.200381277771456</v>
      </c>
      <c r="K13" s="227">
        <v>7.085578025578215</v>
      </c>
      <c r="M13" s="230">
        <v>3</v>
      </c>
      <c r="N13" s="116">
        <v>33.200381277771456</v>
      </c>
      <c r="O13" s="232">
        <v>21.463734900163232</v>
      </c>
      <c r="Q13">
        <f t="shared" si="0"/>
        <v>4.8280200000000004</v>
      </c>
    </row>
    <row r="14" spans="1:17">
      <c r="A14" s="67">
        <f t="shared" ref="A14" si="9">A13+0.5</f>
        <v>3.5</v>
      </c>
      <c r="B14" s="68">
        <v>3.9611760427190887</v>
      </c>
      <c r="C14" s="224">
        <v>7.0639453364179445</v>
      </c>
      <c r="E14" s="62">
        <f t="shared" ref="E14" si="10">E13+0.5</f>
        <v>3.5</v>
      </c>
      <c r="F14" s="63">
        <v>33.200381277771456</v>
      </c>
      <c r="G14" s="225">
        <v>44.755603955733065</v>
      </c>
      <c r="I14" s="59">
        <f t="shared" ref="I14" si="11">I13+0.5</f>
        <v>3.5</v>
      </c>
      <c r="J14" s="58">
        <v>33.200381277771456</v>
      </c>
      <c r="K14" s="227">
        <v>7.5477869326966811</v>
      </c>
      <c r="M14" s="230">
        <f t="shared" ref="M14" si="12">M13+0.5</f>
        <v>3.5</v>
      </c>
      <c r="N14" s="116">
        <v>33.200381277771456</v>
      </c>
      <c r="O14" s="232">
        <v>24.930301703551706</v>
      </c>
      <c r="Q14">
        <f t="shared" si="0"/>
        <v>5.6326900000000002</v>
      </c>
    </row>
    <row r="15" spans="1:17">
      <c r="A15" s="67">
        <v>4</v>
      </c>
      <c r="B15" s="68">
        <v>3.9611760427190887</v>
      </c>
      <c r="C15" s="224">
        <v>8.6153298175514195</v>
      </c>
      <c r="E15" s="62">
        <v>4</v>
      </c>
      <c r="F15" s="63">
        <v>33.200381277771456</v>
      </c>
      <c r="G15" s="225">
        <v>50.533215294713855</v>
      </c>
      <c r="I15" s="59">
        <v>4</v>
      </c>
      <c r="J15" s="58">
        <v>33.200381277771456</v>
      </c>
      <c r="K15" s="227">
        <v>8.0099958398151401</v>
      </c>
      <c r="M15" s="230">
        <v>4</v>
      </c>
      <c r="N15" s="116">
        <v>33.200381277771456</v>
      </c>
      <c r="O15" s="232">
        <v>28.396868506940208</v>
      </c>
      <c r="Q15">
        <f t="shared" si="0"/>
        <v>6.43736</v>
      </c>
    </row>
    <row r="16" spans="1:17">
      <c r="A16" s="67">
        <f t="shared" ref="A16" si="13">A15+0.5</f>
        <v>4.5</v>
      </c>
      <c r="B16" s="68">
        <v>3.9611760427190887</v>
      </c>
      <c r="C16" s="224">
        <v>10.166714298684887</v>
      </c>
      <c r="E16" s="62">
        <f t="shared" ref="E16" si="14">E15+0.5</f>
        <v>4.5</v>
      </c>
      <c r="F16" s="63">
        <v>33.200381277771456</v>
      </c>
      <c r="G16" s="225">
        <v>56.310826633694674</v>
      </c>
      <c r="I16" s="59">
        <f t="shared" ref="I16" si="15">I15+0.5</f>
        <v>4.5</v>
      </c>
      <c r="J16" s="58">
        <v>33.200381277771456</v>
      </c>
      <c r="K16" s="227">
        <v>8.4722047469336133</v>
      </c>
      <c r="M16" s="230">
        <f t="shared" ref="M16" si="16">M15+0.5</f>
        <v>4.5</v>
      </c>
      <c r="N16" s="116">
        <v>33.200381277771456</v>
      </c>
      <c r="O16" s="232">
        <v>31.863435310328683</v>
      </c>
      <c r="Q16">
        <f t="shared" si="0"/>
        <v>7.2420299999999997</v>
      </c>
    </row>
    <row r="17" spans="1:17">
      <c r="A17" s="67">
        <v>5</v>
      </c>
      <c r="B17" s="68">
        <v>3.9611760427190887</v>
      </c>
      <c r="C17" s="224">
        <v>11.718098779818348</v>
      </c>
      <c r="E17" s="62">
        <v>5</v>
      </c>
      <c r="F17" s="63">
        <v>33.200381277771456</v>
      </c>
      <c r="G17" s="225">
        <v>62.088437972675493</v>
      </c>
      <c r="I17" s="59">
        <v>5</v>
      </c>
      <c r="J17" s="58">
        <v>33.200381277771456</v>
      </c>
      <c r="K17" s="227">
        <v>8.9344136540520722</v>
      </c>
      <c r="M17" s="230">
        <v>5</v>
      </c>
      <c r="N17" s="116">
        <v>33.200381277771456</v>
      </c>
      <c r="O17" s="232">
        <v>35.330002113717157</v>
      </c>
      <c r="Q17">
        <f t="shared" si="0"/>
        <v>8.0466999999999995</v>
      </c>
    </row>
    <row r="18" spans="1:17">
      <c r="A18" s="67">
        <f t="shared" ref="A18" si="17">A17+0.5</f>
        <v>5.5</v>
      </c>
      <c r="B18" s="68">
        <v>3.9611760427190887</v>
      </c>
      <c r="C18" s="224">
        <v>13.269483260951816</v>
      </c>
      <c r="E18" s="62">
        <f t="shared" ref="E18" si="18">E17+0.5</f>
        <v>5.5</v>
      </c>
      <c r="F18" s="63">
        <v>33.200381277771456</v>
      </c>
      <c r="G18" s="225">
        <v>67.866049311656283</v>
      </c>
      <c r="I18" s="59">
        <f t="shared" ref="I18" si="19">I17+0.5</f>
        <v>5.5</v>
      </c>
      <c r="J18" s="58">
        <v>33.200381277771456</v>
      </c>
      <c r="K18" s="227">
        <v>9.3966225611705312</v>
      </c>
      <c r="M18" s="230">
        <f t="shared" ref="M18" si="20">M17+0.5</f>
        <v>5.5</v>
      </c>
      <c r="N18" s="116">
        <v>33.200381277771456</v>
      </c>
      <c r="O18" s="232">
        <v>38.796568917105631</v>
      </c>
      <c r="Q18">
        <f t="shared" si="0"/>
        <v>8.8513699999999993</v>
      </c>
    </row>
    <row r="19" spans="1:17">
      <c r="A19" s="67">
        <v>6</v>
      </c>
      <c r="B19" s="68">
        <v>3.9611760427190887</v>
      </c>
      <c r="C19" s="224">
        <v>14.820867742085269</v>
      </c>
      <c r="E19" s="62">
        <v>6</v>
      </c>
      <c r="F19" s="63">
        <v>33.200381277771456</v>
      </c>
      <c r="G19" s="225">
        <v>73.643660650637088</v>
      </c>
      <c r="I19" s="59">
        <v>6</v>
      </c>
      <c r="J19" s="58">
        <v>33.200381277771456</v>
      </c>
      <c r="K19" s="227">
        <v>9.8588314682889973</v>
      </c>
      <c r="M19" s="230">
        <v>6</v>
      </c>
      <c r="N19" s="116">
        <v>33.200381277771456</v>
      </c>
      <c r="O19" s="232">
        <v>42.26313572049412</v>
      </c>
      <c r="Q19">
        <f t="shared" si="0"/>
        <v>9.6560400000000008</v>
      </c>
    </row>
    <row r="20" spans="1:17">
      <c r="A20" s="67">
        <f t="shared" ref="A20" si="21">A19+0.5</f>
        <v>6.5</v>
      </c>
      <c r="B20" s="68">
        <v>3.9611760427190887</v>
      </c>
      <c r="C20" s="224">
        <v>16.372252223218752</v>
      </c>
      <c r="E20" s="62">
        <f t="shared" ref="E20" si="22">E19+0.5</f>
        <v>6.5</v>
      </c>
      <c r="F20" s="63">
        <v>33.200381277771456</v>
      </c>
      <c r="G20" s="225">
        <v>79.421271989617907</v>
      </c>
      <c r="I20" s="59">
        <f t="shared" ref="I20" si="23">I19+0.5</f>
        <v>6.5</v>
      </c>
      <c r="J20" s="58">
        <v>33.200381277771456</v>
      </c>
      <c r="K20" s="227">
        <v>10.321040375407463</v>
      </c>
      <c r="M20" s="230">
        <f t="shared" ref="M20" si="24">M19+0.5</f>
        <v>6.5</v>
      </c>
      <c r="N20" s="116">
        <v>33.200381277771456</v>
      </c>
      <c r="O20" s="232">
        <v>45.729702523882608</v>
      </c>
      <c r="Q20">
        <f t="shared" si="0"/>
        <v>10.460710000000001</v>
      </c>
    </row>
    <row r="21" spans="1:17">
      <c r="A21" s="67">
        <v>7</v>
      </c>
      <c r="B21" s="68">
        <v>3.9611760427190887</v>
      </c>
      <c r="C21" s="224">
        <v>17.923636704352205</v>
      </c>
      <c r="E21" s="62">
        <v>7</v>
      </c>
      <c r="F21" s="63">
        <v>33.200381277771456</v>
      </c>
      <c r="G21" s="225">
        <v>85.198883328598725</v>
      </c>
      <c r="I21" s="59">
        <v>7</v>
      </c>
      <c r="J21" s="58">
        <v>33.200381277771456</v>
      </c>
      <c r="K21" s="227">
        <v>10.783249282525929</v>
      </c>
      <c r="M21" s="230">
        <v>7</v>
      </c>
      <c r="N21" s="116">
        <v>33.200381277771456</v>
      </c>
      <c r="O21" s="232">
        <v>49.196269327271096</v>
      </c>
      <c r="Q21">
        <f t="shared" si="0"/>
        <v>11.26538</v>
      </c>
    </row>
    <row r="22" spans="1:17">
      <c r="A22" s="67">
        <f t="shared" ref="A22" si="25">A21+0.5</f>
        <v>7.5</v>
      </c>
      <c r="B22" s="68">
        <v>3.9611760427190887</v>
      </c>
      <c r="C22" s="224">
        <v>19.475021185485673</v>
      </c>
      <c r="E22" s="62">
        <f t="shared" ref="E22" si="26">E21+0.5</f>
        <v>7.5</v>
      </c>
      <c r="F22" s="63">
        <v>33.200381277771456</v>
      </c>
      <c r="G22" s="225">
        <v>90.976494667579502</v>
      </c>
      <c r="I22" s="59">
        <f t="shared" ref="I22" si="27">I21+0.5</f>
        <v>7.5</v>
      </c>
      <c r="J22" s="58">
        <v>33.200381277771456</v>
      </c>
      <c r="K22" s="227">
        <v>11.245458189644395</v>
      </c>
      <c r="M22" s="230">
        <f t="shared" ref="M22" si="28">M21+0.5</f>
        <v>7.5</v>
      </c>
      <c r="N22" s="116">
        <v>33.200381277771456</v>
      </c>
      <c r="O22" s="232">
        <v>52.662836130659585</v>
      </c>
      <c r="Q22">
        <f t="shared" si="0"/>
        <v>12.07005</v>
      </c>
    </row>
    <row r="23" spans="1:17">
      <c r="A23" s="67">
        <v>8</v>
      </c>
      <c r="B23" s="68">
        <v>3.9611760427190887</v>
      </c>
      <c r="C23" s="224">
        <v>21.026405666619141</v>
      </c>
      <c r="E23" s="62">
        <v>8</v>
      </c>
      <c r="F23" s="63">
        <v>33.200381277771456</v>
      </c>
      <c r="G23" s="225">
        <v>96.75410600656032</v>
      </c>
      <c r="I23" s="59">
        <v>8</v>
      </c>
      <c r="J23" s="58">
        <v>33.200381277771456</v>
      </c>
      <c r="K23" s="227">
        <v>11.707667096762854</v>
      </c>
      <c r="M23" s="230">
        <v>8</v>
      </c>
      <c r="N23" s="116">
        <v>33.200381277771456</v>
      </c>
      <c r="O23" s="232">
        <v>56.129402934048073</v>
      </c>
      <c r="Q23">
        <f t="shared" si="0"/>
        <v>12.87472</v>
      </c>
    </row>
    <row r="24" spans="1:17">
      <c r="A24" s="67">
        <f t="shared" ref="A24" si="29">A23+0.5</f>
        <v>8.5</v>
      </c>
      <c r="B24" s="68">
        <v>3.9611760427190887</v>
      </c>
      <c r="C24" s="224">
        <v>22.577790147752609</v>
      </c>
      <c r="E24" s="62">
        <f t="shared" ref="E24" si="30">E23+0.5</f>
        <v>8.5</v>
      </c>
      <c r="F24" s="63">
        <v>33.200381277771456</v>
      </c>
      <c r="G24" s="225">
        <v>102.53171734554114</v>
      </c>
      <c r="I24" s="59">
        <f t="shared" ref="I24" si="31">I23+0.5</f>
        <v>8.5</v>
      </c>
      <c r="J24" s="58">
        <v>33.200381277771456</v>
      </c>
      <c r="K24" s="227">
        <v>12.169876003881328</v>
      </c>
      <c r="M24" s="230">
        <f t="shared" ref="M24" si="32">M23+0.5</f>
        <v>8.5</v>
      </c>
      <c r="N24" s="116">
        <v>33.200381277771456</v>
      </c>
      <c r="O24" s="232">
        <v>59.595969737436533</v>
      </c>
      <c r="Q24">
        <f t="shared" si="0"/>
        <v>13.67939</v>
      </c>
    </row>
    <row r="25" spans="1:17">
      <c r="A25" s="67">
        <v>9</v>
      </c>
      <c r="B25" s="68">
        <v>3.9611760427190887</v>
      </c>
      <c r="C25" s="224">
        <v>24.129174628886076</v>
      </c>
      <c r="E25" s="62">
        <v>9</v>
      </c>
      <c r="F25" s="63">
        <v>33.200381277771456</v>
      </c>
      <c r="G25" s="225">
        <v>108.30932868452199</v>
      </c>
      <c r="I25" s="59">
        <v>9</v>
      </c>
      <c r="J25" s="58">
        <v>33.200381277771456</v>
      </c>
      <c r="K25" s="227">
        <v>12.632084910999779</v>
      </c>
      <c r="M25" s="230">
        <v>9</v>
      </c>
      <c r="N25" s="116">
        <v>33.200381277771456</v>
      </c>
      <c r="O25" s="232">
        <v>63.062536540825022</v>
      </c>
      <c r="Q25">
        <f t="shared" si="0"/>
        <v>14.484059999999999</v>
      </c>
    </row>
    <row r="26" spans="1:17">
      <c r="A26" s="67">
        <f t="shared" ref="A26" si="33">A25+0.5</f>
        <v>9.5</v>
      </c>
      <c r="B26" s="68">
        <v>3.9611760427190887</v>
      </c>
      <c r="C26" s="224">
        <v>25.680559110019523</v>
      </c>
      <c r="E26" s="62">
        <f t="shared" ref="E26" si="34">E25+0.5</f>
        <v>9.5</v>
      </c>
      <c r="F26" s="63">
        <v>33.200381277771456</v>
      </c>
      <c r="G26" s="225">
        <v>114.08694002350278</v>
      </c>
      <c r="I26" s="59">
        <f t="shared" ref="I26" si="35">I25+0.5</f>
        <v>9.5</v>
      </c>
      <c r="J26" s="58">
        <v>33.200381277771456</v>
      </c>
      <c r="K26" s="227">
        <v>13.094293818118253</v>
      </c>
      <c r="M26" s="230">
        <f t="shared" ref="M26" si="36">M25+0.5</f>
        <v>9.5</v>
      </c>
      <c r="N26" s="116">
        <v>33.200381277771456</v>
      </c>
      <c r="O26" s="232">
        <v>66.52910334421351</v>
      </c>
      <c r="Q26">
        <f t="shared" si="0"/>
        <v>15.288729999999999</v>
      </c>
    </row>
    <row r="27" spans="1:17">
      <c r="A27" s="67">
        <v>10</v>
      </c>
      <c r="B27" s="68">
        <v>3.9611760427190887</v>
      </c>
      <c r="C27" s="224">
        <v>27.231943591152991</v>
      </c>
      <c r="E27" s="62">
        <v>10</v>
      </c>
      <c r="F27" s="63">
        <v>33.200381277771456</v>
      </c>
      <c r="G27" s="225">
        <v>119.86455136248357</v>
      </c>
      <c r="I27" s="59">
        <v>10</v>
      </c>
      <c r="J27" s="58">
        <v>33.200381277771456</v>
      </c>
      <c r="K27" s="227">
        <v>13.556502725236719</v>
      </c>
      <c r="M27" s="230">
        <v>10</v>
      </c>
      <c r="N27" s="116">
        <v>33.200381277771456</v>
      </c>
      <c r="O27" s="232">
        <v>69.995670147601984</v>
      </c>
      <c r="Q27">
        <f t="shared" si="0"/>
        <v>16.093399999999999</v>
      </c>
    </row>
    <row r="28" spans="1:17">
      <c r="A28" s="67">
        <f t="shared" ref="A28" si="37">A27+0.5</f>
        <v>10.5</v>
      </c>
      <c r="B28" s="68">
        <v>3.9611760427190887</v>
      </c>
      <c r="C28" s="224">
        <v>28.783328072286459</v>
      </c>
      <c r="E28" s="62">
        <f t="shared" ref="E28" si="38">E27+0.5</f>
        <v>10.5</v>
      </c>
      <c r="F28" s="63">
        <v>33.200381277771456</v>
      </c>
      <c r="G28" s="225">
        <v>125.64216270146436</v>
      </c>
      <c r="I28" s="59">
        <f t="shared" ref="I28" si="39">I27+0.5</f>
        <v>10.5</v>
      </c>
      <c r="J28" s="58">
        <v>33.200381277771456</v>
      </c>
      <c r="K28" s="227">
        <v>14.018711632355178</v>
      </c>
      <c r="M28" s="230">
        <f t="shared" ref="M28" si="40">M27+0.5</f>
        <v>10.5</v>
      </c>
      <c r="N28" s="116">
        <v>33.200381277771456</v>
      </c>
      <c r="O28" s="232">
        <v>73.462236950990473</v>
      </c>
      <c r="Q28">
        <f t="shared" si="0"/>
        <v>16.898070000000001</v>
      </c>
    </row>
    <row r="29" spans="1:17">
      <c r="A29" s="67">
        <v>11</v>
      </c>
      <c r="B29" s="68">
        <v>3.9611760427190887</v>
      </c>
      <c r="C29" s="224">
        <v>30.334712553419912</v>
      </c>
      <c r="E29" s="62">
        <v>11</v>
      </c>
      <c r="F29" s="63">
        <v>33.200381277771456</v>
      </c>
      <c r="G29" s="225">
        <v>131.41977404044519</v>
      </c>
      <c r="I29" s="59">
        <v>11</v>
      </c>
      <c r="J29" s="58">
        <v>33.200381277771456</v>
      </c>
      <c r="K29" s="227">
        <v>14.480920539473644</v>
      </c>
      <c r="M29" s="230">
        <v>11</v>
      </c>
      <c r="N29" s="116">
        <v>33.200381277771456</v>
      </c>
      <c r="O29" s="232">
        <v>76.928803754378961</v>
      </c>
      <c r="Q29">
        <f t="shared" si="0"/>
        <v>17.702739999999999</v>
      </c>
    </row>
    <row r="30" spans="1:17">
      <c r="A30" s="67">
        <f t="shared" ref="A30" si="41">A29+0.5</f>
        <v>11.5</v>
      </c>
      <c r="B30" s="68">
        <v>3.9611760427190887</v>
      </c>
      <c r="C30" s="224">
        <v>31.88609703455338</v>
      </c>
      <c r="E30" s="62">
        <f t="shared" ref="E30" si="42">E29+0.5</f>
        <v>11.5</v>
      </c>
      <c r="F30" s="63">
        <v>33.200381277771456</v>
      </c>
      <c r="G30" s="225">
        <v>137.19738537942601</v>
      </c>
      <c r="I30" s="59">
        <f t="shared" ref="I30" si="43">I29+0.5</f>
        <v>11.5</v>
      </c>
      <c r="J30" s="58">
        <v>33.200381277771456</v>
      </c>
      <c r="K30" s="227">
        <v>14.94312944659211</v>
      </c>
      <c r="M30" s="230">
        <f t="shared" ref="M30" si="44">M29+0.5</f>
        <v>11.5</v>
      </c>
      <c r="N30" s="116">
        <v>33.200381277771456</v>
      </c>
      <c r="O30" s="232">
        <v>80.39537055776745</v>
      </c>
      <c r="Q30">
        <f t="shared" si="0"/>
        <v>18.50741</v>
      </c>
    </row>
    <row r="31" spans="1:17">
      <c r="A31" s="67">
        <v>12</v>
      </c>
      <c r="B31" s="68">
        <v>3.9611760427190887</v>
      </c>
      <c r="C31" s="224">
        <v>33.437481515686848</v>
      </c>
      <c r="E31" s="62">
        <v>12</v>
      </c>
      <c r="F31" s="63">
        <v>33.200381277771456</v>
      </c>
      <c r="G31" s="225">
        <v>142.97499671840683</v>
      </c>
      <c r="I31" s="59">
        <v>12</v>
      </c>
      <c r="J31" s="58">
        <v>33.200381277771456</v>
      </c>
      <c r="K31" s="227">
        <v>15.405338353710576</v>
      </c>
      <c r="M31" s="230">
        <v>12</v>
      </c>
      <c r="N31" s="116">
        <v>33.200381277771456</v>
      </c>
      <c r="O31" s="232">
        <v>83.861937361155938</v>
      </c>
      <c r="Q31">
        <f t="shared" si="0"/>
        <v>19.312080000000002</v>
      </c>
    </row>
    <row r="32" spans="1:17">
      <c r="A32" s="67">
        <f t="shared" ref="A32" si="45">A31+0.5</f>
        <v>12.5</v>
      </c>
      <c r="B32" s="68">
        <v>3.9611760427190887</v>
      </c>
      <c r="C32" s="224">
        <v>34.988865996820316</v>
      </c>
      <c r="E32" s="62">
        <f t="shared" ref="E32" si="46">E31+0.5</f>
        <v>12.5</v>
      </c>
      <c r="F32" s="63">
        <v>33.200381277771456</v>
      </c>
      <c r="G32" s="225">
        <v>148.75260805738759</v>
      </c>
      <c r="I32" s="59">
        <f t="shared" ref="I32" si="47">I31+0.5</f>
        <v>12.5</v>
      </c>
      <c r="J32" s="58">
        <v>33.200381277771456</v>
      </c>
      <c r="K32" s="227">
        <v>15.867547260829042</v>
      </c>
      <c r="M32" s="230">
        <f t="shared" ref="M32" si="48">M31+0.5</f>
        <v>12.5</v>
      </c>
      <c r="N32" s="116">
        <v>33.200381277771456</v>
      </c>
      <c r="O32" s="232">
        <v>87.328504164544412</v>
      </c>
      <c r="Q32">
        <f t="shared" si="0"/>
        <v>20.11675</v>
      </c>
    </row>
    <row r="33" spans="1:17">
      <c r="A33" s="67">
        <v>13</v>
      </c>
      <c r="B33" s="68">
        <v>3.9611760427190887</v>
      </c>
      <c r="C33" s="224">
        <v>36.540250477953784</v>
      </c>
      <c r="E33" s="62">
        <v>13</v>
      </c>
      <c r="F33" s="63">
        <v>33.200381277771456</v>
      </c>
      <c r="G33" s="225">
        <v>154.53021939636841</v>
      </c>
      <c r="I33" s="59">
        <v>13</v>
      </c>
      <c r="J33" s="58">
        <v>33.200381277771456</v>
      </c>
      <c r="K33" s="227">
        <v>16.329756167947508</v>
      </c>
      <c r="M33" s="230">
        <v>13</v>
      </c>
      <c r="N33" s="116">
        <v>33.200381277771456</v>
      </c>
      <c r="O33" s="232">
        <v>90.795070967932915</v>
      </c>
      <c r="Q33">
        <f t="shared" si="0"/>
        <v>20.921420000000001</v>
      </c>
    </row>
    <row r="34" spans="1:17">
      <c r="A34" s="67">
        <f t="shared" ref="A34" si="49">A33+0.5</f>
        <v>13.5</v>
      </c>
      <c r="B34" s="68">
        <v>3.9611760427190887</v>
      </c>
      <c r="C34" s="224">
        <v>38.091634959087251</v>
      </c>
      <c r="E34" s="62">
        <f t="shared" ref="E34" si="50">E33+0.5</f>
        <v>13.5</v>
      </c>
      <c r="F34" s="63">
        <v>33.200381277771456</v>
      </c>
      <c r="G34" s="225">
        <v>160.30783073534923</v>
      </c>
      <c r="I34" s="59">
        <f t="shared" ref="I34" si="51">I33+0.5</f>
        <v>13.5</v>
      </c>
      <c r="J34" s="58">
        <v>33.200381277771456</v>
      </c>
      <c r="K34" s="227">
        <v>16.791965075065967</v>
      </c>
      <c r="M34" s="230">
        <f t="shared" ref="M34" si="52">M33+0.5</f>
        <v>13.5</v>
      </c>
      <c r="N34" s="116">
        <v>33.200381277771456</v>
      </c>
      <c r="O34" s="232">
        <v>94.261637771321389</v>
      </c>
      <c r="Q34">
        <f t="shared" si="0"/>
        <v>21.726089999999999</v>
      </c>
    </row>
    <row r="35" spans="1:17">
      <c r="A35" s="67">
        <v>14</v>
      </c>
      <c r="B35" s="68">
        <v>3.9611760427190887</v>
      </c>
      <c r="C35" s="224">
        <v>39.643019440220705</v>
      </c>
      <c r="E35" s="62">
        <v>14</v>
      </c>
      <c r="F35" s="63">
        <v>33.200381277771456</v>
      </c>
      <c r="G35" s="225">
        <v>166.08544207433005</v>
      </c>
      <c r="I35" s="59">
        <v>14</v>
      </c>
      <c r="J35" s="58">
        <v>33.200381277771456</v>
      </c>
      <c r="K35" s="227">
        <v>17.25417398218444</v>
      </c>
      <c r="M35" s="230">
        <v>14</v>
      </c>
      <c r="N35" s="116">
        <v>33.200381277771456</v>
      </c>
      <c r="O35" s="232">
        <v>97.728204574709864</v>
      </c>
      <c r="Q35">
        <f t="shared" si="0"/>
        <v>22.530760000000001</v>
      </c>
    </row>
    <row r="36" spans="1:17">
      <c r="A36" s="67">
        <f t="shared" ref="A36" si="53">A35+0.5</f>
        <v>14.5</v>
      </c>
      <c r="B36" s="68">
        <v>3.9611760427190887</v>
      </c>
      <c r="C36" s="224">
        <v>41.194403921354173</v>
      </c>
      <c r="E36" s="62">
        <f t="shared" ref="E36" si="54">E35+0.5</f>
        <v>14.5</v>
      </c>
      <c r="F36" s="63">
        <v>33.200381277771456</v>
      </c>
      <c r="G36" s="225">
        <v>171.86305341331087</v>
      </c>
      <c r="I36" s="59">
        <f t="shared" ref="I36" si="55">I35+0.5</f>
        <v>14.5</v>
      </c>
      <c r="J36" s="58">
        <v>33.200381277771456</v>
      </c>
      <c r="K36" s="227">
        <v>17.716382889302892</v>
      </c>
      <c r="M36" s="230">
        <f t="shared" ref="M36" si="56">M35+0.5</f>
        <v>14.5</v>
      </c>
      <c r="N36" s="116">
        <v>33.200381277771456</v>
      </c>
      <c r="O36" s="232">
        <v>101.19477137809834</v>
      </c>
      <c r="Q36">
        <f t="shared" si="0"/>
        <v>23.335429999999999</v>
      </c>
    </row>
    <row r="37" spans="1:17">
      <c r="A37" s="67">
        <v>15</v>
      </c>
      <c r="B37" s="68">
        <v>3.9611760427190887</v>
      </c>
      <c r="C37" s="224">
        <v>42.745788402487641</v>
      </c>
      <c r="E37" s="62">
        <v>15</v>
      </c>
      <c r="F37" s="63">
        <v>33.200381277771456</v>
      </c>
      <c r="G37" s="225">
        <v>177.64066475229163</v>
      </c>
      <c r="I37" s="59">
        <v>15</v>
      </c>
      <c r="J37" s="58">
        <v>33.200381277771456</v>
      </c>
      <c r="K37" s="227">
        <v>18.178591796421365</v>
      </c>
      <c r="M37" s="230">
        <v>15</v>
      </c>
      <c r="N37" s="116">
        <v>33.200381277771456</v>
      </c>
      <c r="O37" s="232">
        <v>104.66133818148684</v>
      </c>
      <c r="Q37">
        <f t="shared" si="0"/>
        <v>24.1401</v>
      </c>
    </row>
    <row r="38" spans="1:17">
      <c r="A38" s="67">
        <f t="shared" ref="A38" si="57">A37+0.5</f>
        <v>15.5</v>
      </c>
      <c r="B38" s="68">
        <v>3.9611760427190887</v>
      </c>
      <c r="C38" s="224">
        <v>44.297172883621108</v>
      </c>
      <c r="E38" s="62">
        <f t="shared" ref="E38" si="58">E37+0.5</f>
        <v>15.5</v>
      </c>
      <c r="F38" s="63">
        <v>33.200381277771456</v>
      </c>
      <c r="G38" s="225">
        <v>183.4182760912725</v>
      </c>
      <c r="I38" s="59">
        <f t="shared" ref="I38" si="59">I37+0.5</f>
        <v>15.5</v>
      </c>
      <c r="J38" s="58">
        <v>33.200381277771456</v>
      </c>
      <c r="K38" s="227">
        <v>18.640800703539824</v>
      </c>
      <c r="M38" s="230">
        <f t="shared" ref="M38" si="60">M37+0.5</f>
        <v>15.5</v>
      </c>
      <c r="N38" s="116">
        <v>33.200381277771456</v>
      </c>
      <c r="O38" s="232">
        <v>108.12790498487534</v>
      </c>
      <c r="Q38">
        <f t="shared" si="0"/>
        <v>24.944769999999998</v>
      </c>
    </row>
    <row r="39" spans="1:17">
      <c r="A39" s="67">
        <v>16</v>
      </c>
      <c r="B39" s="68">
        <v>3.9611760427190887</v>
      </c>
      <c r="C39" s="224">
        <v>45.848557364754562</v>
      </c>
      <c r="E39" s="62">
        <v>16</v>
      </c>
      <c r="F39" s="63">
        <v>33.200381277771456</v>
      </c>
      <c r="G39" s="225">
        <v>189.19588743025332</v>
      </c>
      <c r="I39" s="59">
        <v>16</v>
      </c>
      <c r="J39" s="58">
        <v>33.200381277771456</v>
      </c>
      <c r="K39" s="227">
        <v>19.10300961065829</v>
      </c>
      <c r="M39" s="230">
        <v>16</v>
      </c>
      <c r="N39" s="116">
        <v>33.200381277771456</v>
      </c>
      <c r="O39" s="232">
        <v>111.59447178826379</v>
      </c>
      <c r="Q39">
        <f t="shared" si="0"/>
        <v>25.74944</v>
      </c>
    </row>
    <row r="40" spans="1:17">
      <c r="A40" s="67">
        <f t="shared" ref="A40" si="61">A39+0.5</f>
        <v>16.5</v>
      </c>
      <c r="B40" s="68">
        <v>3.9611760427190887</v>
      </c>
      <c r="C40" s="224">
        <v>47.39994184588803</v>
      </c>
      <c r="E40" s="62">
        <f t="shared" ref="E40" si="62">E39+0.5</f>
        <v>16.5</v>
      </c>
      <c r="F40" s="63">
        <v>33.200381277771456</v>
      </c>
      <c r="G40" s="225">
        <v>194.97349876923414</v>
      </c>
      <c r="I40" s="59">
        <f t="shared" ref="I40" si="63">I39+0.5</f>
        <v>16.5</v>
      </c>
      <c r="J40" s="58">
        <v>33.200381277771456</v>
      </c>
      <c r="K40" s="227">
        <v>19.565218517776749</v>
      </c>
      <c r="M40" s="230">
        <f t="shared" ref="M40" si="64">M39+0.5</f>
        <v>16.5</v>
      </c>
      <c r="N40" s="116">
        <v>33.200381277771456</v>
      </c>
      <c r="O40" s="232">
        <v>115.06103859165232</v>
      </c>
      <c r="Q40">
        <f t="shared" si="0"/>
        <v>26.554110000000001</v>
      </c>
    </row>
    <row r="41" spans="1:17">
      <c r="A41" s="67">
        <v>17</v>
      </c>
      <c r="B41" s="68">
        <v>3.9611760427190887</v>
      </c>
      <c r="C41" s="224">
        <v>48.951326327021498</v>
      </c>
      <c r="E41" s="62">
        <v>17</v>
      </c>
      <c r="F41" s="63">
        <v>33.200381277771456</v>
      </c>
      <c r="G41" s="225">
        <v>200.75111010821485</v>
      </c>
      <c r="I41" s="59">
        <v>17</v>
      </c>
      <c r="J41" s="58">
        <v>33.200381277771456</v>
      </c>
      <c r="K41" s="227">
        <v>20.027427424895222</v>
      </c>
      <c r="M41" s="230">
        <v>17</v>
      </c>
      <c r="N41" s="116">
        <v>33.200381277771456</v>
      </c>
      <c r="O41" s="232">
        <v>118.52760539504082</v>
      </c>
      <c r="Q41">
        <f t="shared" si="0"/>
        <v>27.358779999999999</v>
      </c>
    </row>
    <row r="42" spans="1:17">
      <c r="A42" s="67">
        <f t="shared" ref="A42" si="65">A41+0.5</f>
        <v>17.5</v>
      </c>
      <c r="B42" s="68">
        <v>3.9611760427190887</v>
      </c>
      <c r="C42" s="224">
        <v>50.502710808154951</v>
      </c>
      <c r="E42" s="62">
        <f t="shared" ref="E42" si="66">E41+0.5</f>
        <v>17.5</v>
      </c>
      <c r="F42" s="63">
        <v>33.200381277771456</v>
      </c>
      <c r="G42" s="225">
        <v>206.52872144719566</v>
      </c>
      <c r="I42" s="59">
        <f t="shared" ref="I42" si="67">I41+0.5</f>
        <v>17.5</v>
      </c>
      <c r="J42" s="58">
        <v>33.200381277771456</v>
      </c>
      <c r="K42" s="227">
        <v>20.489636332013681</v>
      </c>
      <c r="M42" s="230">
        <f t="shared" ref="M42" si="68">M41+0.5</f>
        <v>17.5</v>
      </c>
      <c r="N42" s="116">
        <v>33.200381277771456</v>
      </c>
      <c r="O42" s="232">
        <v>121.99417219842927</v>
      </c>
      <c r="Q42">
        <f t="shared" si="0"/>
        <v>28.163450000000001</v>
      </c>
    </row>
    <row r="43" spans="1:17">
      <c r="A43" s="67">
        <v>18</v>
      </c>
      <c r="B43" s="68">
        <v>3.9611760427190887</v>
      </c>
      <c r="C43" s="224">
        <v>52.054095289288433</v>
      </c>
      <c r="E43" s="62">
        <v>18</v>
      </c>
      <c r="F43" s="63">
        <v>33.200381277771456</v>
      </c>
      <c r="G43" s="225">
        <v>212.30633278617648</v>
      </c>
      <c r="I43" s="59">
        <v>18</v>
      </c>
      <c r="J43" s="58">
        <v>33.200381277771456</v>
      </c>
      <c r="K43" s="227">
        <v>20.951845239132147</v>
      </c>
      <c r="M43" s="230">
        <v>18</v>
      </c>
      <c r="N43" s="116">
        <v>33.200381277771456</v>
      </c>
      <c r="O43" s="232">
        <v>125.46073900181777</v>
      </c>
      <c r="Q43">
        <f t="shared" si="0"/>
        <v>28.968119999999999</v>
      </c>
    </row>
    <row r="44" spans="1:17">
      <c r="A44" s="67">
        <f t="shared" ref="A44" si="69">A43+0.5</f>
        <v>18.5</v>
      </c>
      <c r="B44" s="68">
        <v>3.9611760427190887</v>
      </c>
      <c r="C44" s="224">
        <v>53.605479770421887</v>
      </c>
      <c r="E44" s="62">
        <f t="shared" ref="E44" si="70">E43+0.5</f>
        <v>18.5</v>
      </c>
      <c r="F44" s="63">
        <v>33.200381277771456</v>
      </c>
      <c r="G44" s="225">
        <v>218.0839441251573</v>
      </c>
      <c r="I44" s="59">
        <f t="shared" ref="I44" si="71">I43+0.5</f>
        <v>18.5</v>
      </c>
      <c r="J44" s="58">
        <v>33.200381277771456</v>
      </c>
      <c r="K44" s="227">
        <v>21.414054146250621</v>
      </c>
      <c r="M44" s="230">
        <f t="shared" ref="M44" si="72">M43+0.5</f>
        <v>18.5</v>
      </c>
      <c r="N44" s="116">
        <v>33.200381277771456</v>
      </c>
      <c r="O44" s="232">
        <v>128.92730580520623</v>
      </c>
      <c r="Q44">
        <f t="shared" si="0"/>
        <v>29.772790000000001</v>
      </c>
    </row>
    <row r="45" spans="1:17">
      <c r="A45" s="67">
        <v>19</v>
      </c>
      <c r="B45" s="68">
        <v>3.9611760427190887</v>
      </c>
      <c r="C45" s="224">
        <v>55.156864251555355</v>
      </c>
      <c r="E45" s="62">
        <v>19</v>
      </c>
      <c r="F45" s="63">
        <v>33.200381277771456</v>
      </c>
      <c r="G45" s="225">
        <v>223.86155546413806</v>
      </c>
      <c r="I45" s="59">
        <v>19</v>
      </c>
      <c r="J45" s="58">
        <v>33.200381277771456</v>
      </c>
      <c r="K45" s="227">
        <v>21.876263053369087</v>
      </c>
      <c r="M45" s="230">
        <v>19</v>
      </c>
      <c r="N45" s="116">
        <v>33.200381277771456</v>
      </c>
      <c r="O45" s="232">
        <v>132.39387260859473</v>
      </c>
      <c r="Q45">
        <f t="shared" si="0"/>
        <v>30.577459999999999</v>
      </c>
    </row>
    <row r="46" spans="1:17">
      <c r="A46" s="67">
        <f t="shared" ref="A46" si="73">A45+0.5</f>
        <v>19.5</v>
      </c>
      <c r="B46" s="68">
        <v>3.9611760427190887</v>
      </c>
      <c r="C46" s="224">
        <v>56.708248732688823</v>
      </c>
      <c r="E46" s="62">
        <f t="shared" ref="E46" si="74">E45+0.5</f>
        <v>19.5</v>
      </c>
      <c r="F46" s="63">
        <v>33.200381277771456</v>
      </c>
      <c r="G46" s="225">
        <v>229.63916680311894</v>
      </c>
      <c r="I46" s="59">
        <f t="shared" ref="I46" si="75">I45+0.5</f>
        <v>19.5</v>
      </c>
      <c r="J46" s="58">
        <v>33.200381277771456</v>
      </c>
      <c r="K46" s="227">
        <v>22.338471960487539</v>
      </c>
      <c r="M46" s="230">
        <f t="shared" ref="M46" si="76">M45+0.5</f>
        <v>19.5</v>
      </c>
      <c r="N46" s="116">
        <v>33.200381277771456</v>
      </c>
      <c r="O46" s="232">
        <v>135.86043941198318</v>
      </c>
      <c r="Q46">
        <f t="shared" si="0"/>
        <v>31.38213</v>
      </c>
    </row>
    <row r="47" spans="1:17">
      <c r="A47" s="67">
        <v>20</v>
      </c>
      <c r="B47" s="68">
        <v>3.9611760427190887</v>
      </c>
      <c r="C47" s="224">
        <v>58.259633213822291</v>
      </c>
      <c r="E47" s="62">
        <v>20</v>
      </c>
      <c r="F47" s="63">
        <v>33.200381277771456</v>
      </c>
      <c r="G47" s="225">
        <v>235.4167781420997</v>
      </c>
      <c r="I47" s="59">
        <v>20</v>
      </c>
      <c r="J47" s="58">
        <v>33.200381277771456</v>
      </c>
      <c r="K47" s="227">
        <v>22.800680867606005</v>
      </c>
      <c r="M47" s="230">
        <v>20</v>
      </c>
      <c r="N47" s="116">
        <v>33.200381277771456</v>
      </c>
      <c r="O47" s="232">
        <v>139.32700621537174</v>
      </c>
      <c r="Q47">
        <f t="shared" si="0"/>
        <v>32.186799999999998</v>
      </c>
    </row>
    <row r="53" spans="3:3">
      <c r="C53" s="133">
        <f>C47-C3</f>
        <v>54.298457171103202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/>
  </sheetPr>
  <dimension ref="A1:K86"/>
  <sheetViews>
    <sheetView topLeftCell="C1" zoomScale="60" zoomScaleNormal="60" workbookViewId="0">
      <selection activeCell="G39" sqref="G39"/>
    </sheetView>
  </sheetViews>
  <sheetFormatPr defaultColWidth="10.875" defaultRowHeight="15.75"/>
  <cols>
    <col min="1" max="1" width="57.5" customWidth="1"/>
    <col min="2" max="2" width="36.625" customWidth="1"/>
    <col min="3" max="6" width="36.625" style="17" customWidth="1"/>
    <col min="7" max="8" width="36.625" style="104" customWidth="1"/>
    <col min="9" max="9" width="36.625" style="103" customWidth="1"/>
    <col min="10" max="10" width="10.875" style="103"/>
    <col min="11" max="11" width="20.375" bestFit="1" customWidth="1"/>
  </cols>
  <sheetData>
    <row r="1" spans="1:11" ht="18" customHeight="1">
      <c r="A1" s="98" t="s">
        <v>203</v>
      </c>
      <c r="B1" s="98" t="s">
        <v>3</v>
      </c>
      <c r="C1" s="97" t="s">
        <v>173</v>
      </c>
      <c r="D1" s="97" t="s">
        <v>174</v>
      </c>
      <c r="E1" s="97" t="s">
        <v>175</v>
      </c>
      <c r="F1" s="97" t="s">
        <v>176</v>
      </c>
      <c r="G1" s="106" t="s">
        <v>202</v>
      </c>
      <c r="H1" s="106" t="s">
        <v>377</v>
      </c>
      <c r="I1" s="106" t="s">
        <v>285</v>
      </c>
      <c r="J1" s="102"/>
    </row>
    <row r="2" spans="1:11" ht="18" customHeight="1">
      <c r="A2" t="s">
        <v>10</v>
      </c>
      <c r="B2" t="s">
        <v>261</v>
      </c>
      <c r="C2" s="88">
        <v>0.12</v>
      </c>
      <c r="D2" s="107">
        <v>3.9611999999999998</v>
      </c>
      <c r="E2" s="88">
        <v>0.1212</v>
      </c>
      <c r="F2" s="88">
        <v>3.8938000000000001</v>
      </c>
      <c r="G2" s="105">
        <f>ABS(F2-D2)</f>
        <v>6.7399999999999682E-2</v>
      </c>
      <c r="H2" s="161">
        <f>(F2-D2)/ABS(D2)</f>
        <v>-1.7015045945672949E-2</v>
      </c>
      <c r="I2" s="170">
        <f>H2*100</f>
        <v>-1.7015045945672949</v>
      </c>
      <c r="J2" s="104"/>
      <c r="K2" s="34"/>
    </row>
    <row r="3" spans="1:11" ht="18" customHeight="1">
      <c r="A3" t="s">
        <v>14</v>
      </c>
      <c r="B3" t="s">
        <v>508</v>
      </c>
      <c r="C3" s="88">
        <v>0.75</v>
      </c>
      <c r="D3" s="107">
        <v>3.9611999999999998</v>
      </c>
      <c r="E3" s="88">
        <v>0.75750000000000006</v>
      </c>
      <c r="F3" s="88">
        <v>3.6486999999999998</v>
      </c>
      <c r="G3" s="105">
        <f t="shared" ref="G3:G41" si="0">ABS(F3-D3)</f>
        <v>0.3125</v>
      </c>
      <c r="H3" s="161">
        <f t="shared" ref="H3:H36" si="1">(F3-D3)/ABS(D3)</f>
        <v>-7.8890235282237708E-2</v>
      </c>
      <c r="I3" s="170">
        <f t="shared" ref="I3:I41" si="2">H3*100</f>
        <v>-7.8890235282237704</v>
      </c>
      <c r="J3" s="104"/>
      <c r="K3" s="34"/>
    </row>
    <row r="4" spans="1:11" ht="18" customHeight="1">
      <c r="A4" t="s">
        <v>387</v>
      </c>
      <c r="B4" t="s">
        <v>388</v>
      </c>
      <c r="C4" s="88">
        <v>28</v>
      </c>
      <c r="D4" s="107">
        <v>3.9611999999999998</v>
      </c>
      <c r="E4" s="88">
        <v>28.28</v>
      </c>
      <c r="F4" s="88">
        <v>4.0107999999999997</v>
      </c>
      <c r="G4" s="105">
        <f t="shared" si="0"/>
        <v>4.9599999999999866E-2</v>
      </c>
      <c r="H4" s="161">
        <f t="shared" si="1"/>
        <v>1.2521458143996736E-2</v>
      </c>
      <c r="I4" s="170">
        <f t="shared" si="2"/>
        <v>1.2521458143996735</v>
      </c>
      <c r="J4" s="104"/>
    </row>
    <row r="5" spans="1:11" ht="18" customHeight="1">
      <c r="A5" t="s">
        <v>48</v>
      </c>
      <c r="B5" t="s">
        <v>51</v>
      </c>
      <c r="C5" s="88">
        <v>1</v>
      </c>
      <c r="D5" s="107">
        <v>3.9611999999999998</v>
      </c>
      <c r="E5" s="88">
        <v>1.01</v>
      </c>
      <c r="F5" s="88">
        <v>3.9386999999999999</v>
      </c>
      <c r="G5" s="105">
        <f t="shared" si="0"/>
        <v>2.2499999999999964E-2</v>
      </c>
      <c r="H5" s="161">
        <f t="shared" si="1"/>
        <v>-5.6800969403211065E-3</v>
      </c>
      <c r="I5" s="170">
        <f t="shared" si="2"/>
        <v>-0.56800969403211066</v>
      </c>
      <c r="J5" s="104"/>
      <c r="K5" s="2"/>
    </row>
    <row r="6" spans="1:11" ht="18" customHeight="1">
      <c r="A6" t="s">
        <v>177</v>
      </c>
      <c r="B6" t="s">
        <v>56</v>
      </c>
      <c r="C6" s="88">
        <v>0.6</v>
      </c>
      <c r="D6" s="107">
        <v>3.9611999999999998</v>
      </c>
      <c r="E6" s="88">
        <v>0.60599999999999998</v>
      </c>
      <c r="F6" s="88">
        <v>3.92</v>
      </c>
      <c r="G6" s="105">
        <f t="shared" si="0"/>
        <v>4.1199999999999903E-2</v>
      </c>
      <c r="H6" s="161">
        <f t="shared" si="1"/>
        <v>-1.0400888619610195E-2</v>
      </c>
      <c r="I6" s="170">
        <f t="shared" si="2"/>
        <v>-1.0400888619610196</v>
      </c>
      <c r="J6" s="104"/>
    </row>
    <row r="7" spans="1:11" ht="18" customHeight="1">
      <c r="A7" t="s">
        <v>134</v>
      </c>
      <c r="B7" t="s">
        <v>135</v>
      </c>
      <c r="C7" s="88">
        <v>0.06</v>
      </c>
      <c r="D7" s="107">
        <v>3.9611999999999998</v>
      </c>
      <c r="E7" s="88">
        <v>6.0600000000000001E-2</v>
      </c>
      <c r="F7" s="88">
        <v>3.9613999999999998</v>
      </c>
      <c r="G7" s="105">
        <f t="shared" si="0"/>
        <v>1.9999999999997797E-4</v>
      </c>
      <c r="H7" s="161">
        <f t="shared" si="1"/>
        <v>5.0489750580626573E-5</v>
      </c>
      <c r="I7" s="170">
        <f t="shared" si="2"/>
        <v>5.0489750580626569E-3</v>
      </c>
      <c r="J7" s="104"/>
    </row>
    <row r="8" spans="1:11" ht="18" customHeight="1">
      <c r="A8" t="s">
        <v>509</v>
      </c>
      <c r="B8" t="s">
        <v>263</v>
      </c>
      <c r="C8" s="88">
        <v>0.97</v>
      </c>
      <c r="D8" s="107">
        <v>3.9611999999999998</v>
      </c>
      <c r="E8" s="88">
        <v>0.97970000000000002</v>
      </c>
      <c r="F8" s="88">
        <v>3.714</v>
      </c>
      <c r="G8" s="105">
        <f t="shared" si="0"/>
        <v>0.24719999999999986</v>
      </c>
      <c r="H8" s="161">
        <f t="shared" si="1"/>
        <v>-6.2405331717661286E-2</v>
      </c>
      <c r="I8" s="170">
        <f t="shared" si="2"/>
        <v>-6.2405331717661285</v>
      </c>
      <c r="J8" s="104"/>
      <c r="K8" s="159"/>
    </row>
    <row r="9" spans="1:11" ht="18" customHeight="1">
      <c r="A9" t="s">
        <v>519</v>
      </c>
      <c r="B9" t="s">
        <v>510</v>
      </c>
      <c r="C9" s="88">
        <v>350</v>
      </c>
      <c r="D9" s="107">
        <v>3.9611999999999998</v>
      </c>
      <c r="E9" s="88">
        <v>353.5</v>
      </c>
      <c r="F9" s="88">
        <v>3.7957999999999998</v>
      </c>
      <c r="G9" s="105">
        <f t="shared" si="0"/>
        <v>0.16539999999999999</v>
      </c>
      <c r="H9" s="161">
        <f t="shared" si="1"/>
        <v>-4.1755023730182771E-2</v>
      </c>
      <c r="I9" s="170">
        <f t="shared" si="2"/>
        <v>-4.1755023730182774</v>
      </c>
      <c r="J9" s="104"/>
    </row>
    <row r="10" spans="1:11" ht="18" customHeight="1">
      <c r="A10" t="s">
        <v>424</v>
      </c>
      <c r="B10" t="s">
        <v>425</v>
      </c>
      <c r="C10" s="88">
        <v>0.05</v>
      </c>
      <c r="D10" s="107">
        <v>3.9611999999999998</v>
      </c>
      <c r="E10" s="88">
        <v>5.0500000000000003E-2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  <c r="J10" s="104"/>
    </row>
    <row r="11" spans="1:11" ht="18" customHeight="1">
      <c r="A11" t="s">
        <v>168</v>
      </c>
      <c r="B11" t="s">
        <v>11</v>
      </c>
      <c r="C11" s="88">
        <v>0.08</v>
      </c>
      <c r="D11" s="107">
        <v>3.9611999999999998</v>
      </c>
      <c r="E11" s="88">
        <v>8.0799999999999997E-2</v>
      </c>
      <c r="F11" s="88">
        <v>3.9845000000000002</v>
      </c>
      <c r="G11" s="105">
        <f t="shared" si="0"/>
        <v>2.330000000000032E-2</v>
      </c>
      <c r="H11" s="161">
        <f t="shared" si="1"/>
        <v>5.8820559426437241E-3</v>
      </c>
      <c r="I11" s="170">
        <f t="shared" si="2"/>
        <v>0.58820559426437247</v>
      </c>
      <c r="J11" s="104"/>
    </row>
    <row r="12" spans="1:11" ht="18" customHeight="1">
      <c r="A12" t="s">
        <v>169</v>
      </c>
      <c r="B12" t="s">
        <v>1</v>
      </c>
      <c r="C12" s="88">
        <v>0.06</v>
      </c>
      <c r="D12" s="107">
        <v>3.9611999999999998</v>
      </c>
      <c r="E12" s="88">
        <v>6.0600000000000001E-2</v>
      </c>
      <c r="F12" s="88">
        <v>3.7957999999999998</v>
      </c>
      <c r="G12" s="105">
        <f t="shared" si="0"/>
        <v>0.16539999999999999</v>
      </c>
      <c r="H12" s="161">
        <f t="shared" si="1"/>
        <v>-4.1755023730182771E-2</v>
      </c>
      <c r="I12" s="170">
        <f t="shared" si="2"/>
        <v>-4.1755023730182774</v>
      </c>
      <c r="J12" s="104"/>
    </row>
    <row r="13" spans="1:11" ht="18" customHeight="1">
      <c r="A13" t="s">
        <v>50</v>
      </c>
      <c r="B13" t="s">
        <v>511</v>
      </c>
      <c r="C13" s="88">
        <v>1000</v>
      </c>
      <c r="D13" s="107">
        <v>3.9611999999999998</v>
      </c>
      <c r="E13" s="88">
        <v>1010</v>
      </c>
      <c r="F13" s="88">
        <v>3.8862000000000001</v>
      </c>
      <c r="G13" s="105">
        <f t="shared" si="0"/>
        <v>7.4999999999999734E-2</v>
      </c>
      <c r="H13" s="161">
        <f t="shared" si="1"/>
        <v>-1.8933656467736981E-2</v>
      </c>
      <c r="I13" s="170">
        <f t="shared" si="2"/>
        <v>-1.8933656467736981</v>
      </c>
      <c r="J13" s="104"/>
    </row>
    <row r="14" spans="1:11" ht="18" customHeight="1">
      <c r="A14" t="s">
        <v>165</v>
      </c>
      <c r="B14" t="s">
        <v>17</v>
      </c>
      <c r="C14" s="88">
        <v>4.5</v>
      </c>
      <c r="D14" s="107">
        <v>3.9611999999999998</v>
      </c>
      <c r="E14" s="88">
        <v>4.5449999999999999</v>
      </c>
      <c r="F14" s="88">
        <v>3.8803000000000001</v>
      </c>
      <c r="G14" s="105">
        <f t="shared" si="0"/>
        <v>8.089999999999975E-2</v>
      </c>
      <c r="H14" s="161">
        <f t="shared" si="1"/>
        <v>-2.0423104109865635E-2</v>
      </c>
      <c r="I14" s="170">
        <f t="shared" si="2"/>
        <v>-2.0423104109865635</v>
      </c>
      <c r="J14" s="104"/>
    </row>
    <row r="15" spans="1:11" ht="18" customHeight="1">
      <c r="A15" t="s">
        <v>520</v>
      </c>
      <c r="B15" t="s">
        <v>510</v>
      </c>
      <c r="C15" s="88">
        <v>180.3</v>
      </c>
      <c r="D15" s="107">
        <v>3.9611999999999998</v>
      </c>
      <c r="E15" s="88">
        <v>182.10300000000001</v>
      </c>
      <c r="F15" s="88">
        <v>3.8125</v>
      </c>
      <c r="G15" s="105">
        <f t="shared" si="0"/>
        <v>0.14869999999999983</v>
      </c>
      <c r="H15" s="161">
        <f t="shared" si="1"/>
        <v>-3.7539129556699947E-2</v>
      </c>
      <c r="I15" s="170">
        <f t="shared" si="2"/>
        <v>-3.7539129556699948</v>
      </c>
      <c r="J15" s="104"/>
    </row>
    <row r="16" spans="1:11" ht="18" customHeight="1">
      <c r="A16" t="s">
        <v>170</v>
      </c>
      <c r="B16" t="s">
        <v>12</v>
      </c>
      <c r="C16" s="88">
        <v>0.90299999713897705</v>
      </c>
      <c r="D16" s="107">
        <v>3.9611999999999998</v>
      </c>
      <c r="E16" s="88">
        <v>0.91202999711036681</v>
      </c>
      <c r="F16" s="88">
        <v>4.0145</v>
      </c>
      <c r="G16" s="105">
        <f t="shared" si="0"/>
        <v>5.3300000000000125E-2</v>
      </c>
      <c r="H16" s="161">
        <f t="shared" si="1"/>
        <v>1.3455518529738496E-2</v>
      </c>
      <c r="I16" s="170">
        <f t="shared" si="2"/>
        <v>1.3455518529738495</v>
      </c>
      <c r="J16" s="104"/>
    </row>
    <row r="17" spans="1:10" ht="18" customHeight="1">
      <c r="A17" t="s">
        <v>171</v>
      </c>
      <c r="B17" t="s">
        <v>0</v>
      </c>
      <c r="C17" s="88">
        <v>0.8410000205039978</v>
      </c>
      <c r="D17" s="107">
        <v>3.9611999999999998</v>
      </c>
      <c r="E17" s="88">
        <v>0.84941002070903782</v>
      </c>
      <c r="F17" s="88">
        <v>3.8125</v>
      </c>
      <c r="G17" s="105">
        <f t="shared" si="0"/>
        <v>0.14869999999999983</v>
      </c>
      <c r="H17" s="161">
        <f t="shared" si="1"/>
        <v>-3.7539129556699947E-2</v>
      </c>
      <c r="I17" s="170">
        <f t="shared" si="2"/>
        <v>-3.7539129556699948</v>
      </c>
      <c r="J17" s="104"/>
    </row>
    <row r="18" spans="1:10" ht="18" customHeight="1">
      <c r="A18" t="s">
        <v>60</v>
      </c>
      <c r="B18" t="s">
        <v>511</v>
      </c>
      <c r="C18" s="88">
        <v>50</v>
      </c>
      <c r="D18" s="107">
        <v>3.9611999999999998</v>
      </c>
      <c r="E18" s="88">
        <v>50.5</v>
      </c>
      <c r="F18" s="88">
        <v>3.9281000000000001</v>
      </c>
      <c r="G18" s="105">
        <f t="shared" si="0"/>
        <v>3.3099999999999685E-2</v>
      </c>
      <c r="H18" s="161">
        <f t="shared" si="1"/>
        <v>-8.3560537210945387E-3</v>
      </c>
      <c r="I18" s="170">
        <f t="shared" si="2"/>
        <v>-0.83560537210945385</v>
      </c>
      <c r="J18" s="104"/>
    </row>
    <row r="19" spans="1:10" ht="18" customHeight="1">
      <c r="A19" t="s">
        <v>172</v>
      </c>
      <c r="B19" t="s">
        <v>268</v>
      </c>
      <c r="C19" s="88">
        <v>51</v>
      </c>
      <c r="D19" s="107">
        <v>3.9611999999999998</v>
      </c>
      <c r="E19" s="88">
        <v>51.51</v>
      </c>
      <c r="F19" s="88">
        <v>4.0343999999999998</v>
      </c>
      <c r="G19" s="105">
        <f t="shared" si="0"/>
        <v>7.3199999999999932E-2</v>
      </c>
      <c r="H19" s="161">
        <f t="shared" si="1"/>
        <v>1.8479248712511345E-2</v>
      </c>
      <c r="I19" s="170">
        <f t="shared" si="2"/>
        <v>1.8479248712511345</v>
      </c>
      <c r="J19" s="104"/>
    </row>
    <row r="20" spans="1:10" ht="18" customHeight="1">
      <c r="A20" t="s">
        <v>13</v>
      </c>
      <c r="B20" t="s">
        <v>80</v>
      </c>
      <c r="C20" s="88">
        <v>4800</v>
      </c>
      <c r="D20" s="107">
        <v>3.9611999999999998</v>
      </c>
      <c r="E20" s="88">
        <v>4848</v>
      </c>
      <c r="F20" s="88">
        <v>3.8803000000000001</v>
      </c>
      <c r="G20" s="105">
        <f t="shared" si="0"/>
        <v>8.089999999999975E-2</v>
      </c>
      <c r="H20" s="161">
        <f t="shared" si="1"/>
        <v>-2.0423104109865635E-2</v>
      </c>
      <c r="I20" s="170">
        <f t="shared" si="2"/>
        <v>-2.0423104109865635</v>
      </c>
      <c r="J20" s="104"/>
    </row>
    <row r="21" spans="1:10" ht="18" customHeight="1">
      <c r="A21" t="s">
        <v>164</v>
      </c>
      <c r="B21" t="s">
        <v>167</v>
      </c>
      <c r="C21" s="88">
        <v>5</v>
      </c>
      <c r="D21" s="107">
        <v>3.9611999999999998</v>
      </c>
      <c r="E21" s="88">
        <v>5.05</v>
      </c>
      <c r="F21" s="88">
        <v>3.9578000000000002</v>
      </c>
      <c r="G21" s="105">
        <f t="shared" si="0"/>
        <v>3.3999999999996255E-3</v>
      </c>
      <c r="H21" s="161">
        <f t="shared" si="1"/>
        <v>-8.583257598706517E-4</v>
      </c>
      <c r="I21" s="170">
        <f t="shared" si="2"/>
        <v>-8.5832575987065174E-2</v>
      </c>
      <c r="J21" s="104"/>
    </row>
    <row r="22" spans="1:10" ht="18" customHeight="1">
      <c r="A22" t="s">
        <v>143</v>
      </c>
      <c r="B22" t="s">
        <v>167</v>
      </c>
      <c r="C22" s="88">
        <v>1</v>
      </c>
      <c r="D22" s="107">
        <v>3.9611999999999998</v>
      </c>
      <c r="E22" s="88">
        <v>1.01</v>
      </c>
      <c r="F22" s="88">
        <v>3.9167999999999998</v>
      </c>
      <c r="G22" s="105">
        <f t="shared" si="0"/>
        <v>4.4399999999999995E-2</v>
      </c>
      <c r="H22" s="161">
        <f t="shared" si="1"/>
        <v>-1.1208724628900333E-2</v>
      </c>
      <c r="I22" s="170">
        <f t="shared" si="2"/>
        <v>-1.1208724628900333</v>
      </c>
      <c r="J22" s="104"/>
    </row>
    <row r="23" spans="1:10" ht="18" customHeight="1">
      <c r="A23" t="s">
        <v>21</v>
      </c>
      <c r="B23" t="s">
        <v>2</v>
      </c>
      <c r="C23" s="88">
        <v>340</v>
      </c>
      <c r="D23" s="107">
        <v>3.9611999999999998</v>
      </c>
      <c r="E23" s="88">
        <v>343.4</v>
      </c>
      <c r="F23" s="88">
        <v>3.8212000000000002</v>
      </c>
      <c r="G23" s="105">
        <f t="shared" si="0"/>
        <v>0.13999999999999968</v>
      </c>
      <c r="H23" s="161">
        <f t="shared" si="1"/>
        <v>-3.5342825406442416E-2</v>
      </c>
      <c r="I23" s="170">
        <f t="shared" si="2"/>
        <v>-3.5342825406442415</v>
      </c>
      <c r="J23" s="104"/>
    </row>
    <row r="24" spans="1:10" ht="18" customHeight="1">
      <c r="A24" t="s">
        <v>70</v>
      </c>
      <c r="B24" t="s">
        <v>73</v>
      </c>
      <c r="C24" s="88">
        <v>7.0000000000000007E-2</v>
      </c>
      <c r="D24" s="107">
        <v>3.9611999999999998</v>
      </c>
      <c r="E24" s="88">
        <v>7.0700000000000013E-2</v>
      </c>
      <c r="F24" s="88">
        <v>4.0030999999999999</v>
      </c>
      <c r="G24" s="105">
        <f t="shared" si="0"/>
        <v>4.1900000000000048E-2</v>
      </c>
      <c r="H24" s="161">
        <f t="shared" si="1"/>
        <v>1.0577602746642444E-2</v>
      </c>
      <c r="I24" s="170">
        <f t="shared" si="2"/>
        <v>1.0577602746642445</v>
      </c>
      <c r="J24" s="104"/>
    </row>
    <row r="25" spans="1:10" ht="18" customHeight="1">
      <c r="A25" t="s">
        <v>71</v>
      </c>
      <c r="B25" t="s">
        <v>72</v>
      </c>
      <c r="C25" s="88">
        <v>15</v>
      </c>
      <c r="D25" s="107">
        <v>3.9611999999999998</v>
      </c>
      <c r="E25" s="88">
        <v>15.15</v>
      </c>
      <c r="F25" s="88">
        <v>3.9070999999999998</v>
      </c>
      <c r="G25" s="105">
        <f t="shared" si="0"/>
        <v>5.4100000000000037E-2</v>
      </c>
      <c r="H25" s="161">
        <f t="shared" si="1"/>
        <v>-1.3657477532061002E-2</v>
      </c>
      <c r="I25" s="170">
        <f t="shared" si="2"/>
        <v>-1.3657477532061002</v>
      </c>
      <c r="J25" s="104"/>
    </row>
    <row r="26" spans="1:10" ht="18" customHeight="1">
      <c r="A26" t="s">
        <v>65</v>
      </c>
      <c r="B26" t="s">
        <v>62</v>
      </c>
      <c r="C26" s="88">
        <v>0</v>
      </c>
      <c r="D26" s="107">
        <v>3.9611999999999998</v>
      </c>
      <c r="E26" s="88">
        <v>0</v>
      </c>
      <c r="F26" s="88">
        <v>3.9611999999999998</v>
      </c>
      <c r="G26" s="105">
        <f t="shared" si="0"/>
        <v>0</v>
      </c>
      <c r="H26" s="161">
        <f t="shared" si="1"/>
        <v>0</v>
      </c>
      <c r="I26" s="170">
        <f t="shared" si="2"/>
        <v>0</v>
      </c>
      <c r="J26" s="104"/>
    </row>
    <row r="27" spans="1:10" ht="18" customHeight="1">
      <c r="A27" t="s">
        <v>287</v>
      </c>
      <c r="B27" t="s">
        <v>102</v>
      </c>
      <c r="C27" s="88">
        <v>2.5</v>
      </c>
      <c r="D27" s="107">
        <v>3.9611999999999998</v>
      </c>
      <c r="E27" s="88">
        <v>2.5249999999999999</v>
      </c>
      <c r="F27" s="88">
        <v>4.0387000000000004</v>
      </c>
      <c r="G27" s="105">
        <f t="shared" si="0"/>
        <v>7.7500000000000568E-2</v>
      </c>
      <c r="H27" s="161">
        <f t="shared" si="1"/>
        <v>1.9564778349995097E-2</v>
      </c>
      <c r="I27" s="170">
        <f t="shared" si="2"/>
        <v>1.9564778349995098</v>
      </c>
      <c r="J27" s="104"/>
    </row>
    <row r="28" spans="1:10" ht="18" customHeight="1">
      <c r="A28" t="s">
        <v>101</v>
      </c>
      <c r="B28" t="s">
        <v>102</v>
      </c>
      <c r="C28" s="88">
        <v>0</v>
      </c>
      <c r="D28" s="181">
        <v>3.9611999999999998</v>
      </c>
      <c r="E28" s="88">
        <v>0</v>
      </c>
      <c r="F28" s="88">
        <v>3.9611999999999998</v>
      </c>
      <c r="G28" s="105">
        <f t="shared" si="0"/>
        <v>0</v>
      </c>
      <c r="H28" s="161">
        <f t="shared" si="1"/>
        <v>0</v>
      </c>
      <c r="I28" s="170">
        <f t="shared" si="2"/>
        <v>0</v>
      </c>
      <c r="J28" s="104"/>
    </row>
    <row r="29" spans="1:10" ht="18" customHeight="1">
      <c r="A29" t="s">
        <v>89</v>
      </c>
      <c r="B29" t="s">
        <v>288</v>
      </c>
      <c r="C29" s="88">
        <v>5</v>
      </c>
      <c r="D29" s="107">
        <v>3.9611999999999998</v>
      </c>
      <c r="E29" s="88">
        <v>5.05</v>
      </c>
      <c r="F29" s="88">
        <v>3.968</v>
      </c>
      <c r="G29" s="105">
        <f t="shared" si="0"/>
        <v>6.8000000000001393E-3</v>
      </c>
      <c r="H29" s="161">
        <f t="shared" si="1"/>
        <v>1.7166515197415276E-3</v>
      </c>
      <c r="I29" s="170">
        <f t="shared" si="2"/>
        <v>0.17166515197415277</v>
      </c>
      <c r="J29" s="104"/>
    </row>
    <row r="30" spans="1:10" ht="18" customHeight="1">
      <c r="A30" t="s">
        <v>426</v>
      </c>
      <c r="B30" t="s">
        <v>427</v>
      </c>
      <c r="C30" s="88">
        <v>0.48049999999999998</v>
      </c>
      <c r="D30" s="107">
        <v>3.9611999999999998</v>
      </c>
      <c r="E30" s="88">
        <v>0.48530499999999999</v>
      </c>
      <c r="F30" s="88">
        <v>3.9565999999999999</v>
      </c>
      <c r="G30" s="105">
        <f t="shared" si="0"/>
        <v>4.5999999999999375E-3</v>
      </c>
      <c r="H30" s="161">
        <f t="shared" si="1"/>
        <v>-1.1612642633545233E-3</v>
      </c>
      <c r="I30" s="170">
        <f t="shared" si="2"/>
        <v>-0.11612642633545232</v>
      </c>
      <c r="J30" s="104"/>
    </row>
    <row r="31" spans="1:10" ht="18" customHeight="1">
      <c r="A31" t="s">
        <v>198</v>
      </c>
      <c r="B31" t="s">
        <v>289</v>
      </c>
      <c r="C31" s="88">
        <v>1.92</v>
      </c>
      <c r="D31" s="107">
        <v>3.9611999999999998</v>
      </c>
      <c r="E31" s="88">
        <v>1.9392</v>
      </c>
      <c r="F31" s="88">
        <v>3.7248000000000001</v>
      </c>
      <c r="G31" s="105">
        <f t="shared" si="0"/>
        <v>0.23639999999999972</v>
      </c>
      <c r="H31" s="161">
        <f t="shared" si="1"/>
        <v>-5.967888518630711E-2</v>
      </c>
      <c r="I31" s="170">
        <f t="shared" si="2"/>
        <v>-5.9678885186307111</v>
      </c>
      <c r="J31" s="104"/>
    </row>
    <row r="32" spans="1:10" ht="18" customHeight="1">
      <c r="A32" t="s">
        <v>396</v>
      </c>
      <c r="B32" t="s">
        <v>399</v>
      </c>
      <c r="C32" s="88">
        <v>136.25</v>
      </c>
      <c r="D32" s="107">
        <v>3.9611999999999998</v>
      </c>
      <c r="E32" s="88">
        <v>137.61250000000001</v>
      </c>
      <c r="F32" s="88">
        <v>3.8033000000000001</v>
      </c>
      <c r="G32" s="105">
        <f t="shared" si="0"/>
        <v>0.15789999999999971</v>
      </c>
      <c r="H32" s="161">
        <f t="shared" si="1"/>
        <v>-3.9861658083408996E-2</v>
      </c>
      <c r="I32" s="170">
        <f t="shared" si="2"/>
        <v>-3.9861658083408997</v>
      </c>
      <c r="J32" s="104"/>
    </row>
    <row r="33" spans="1:10" ht="18" customHeight="1">
      <c r="A33" t="s">
        <v>397</v>
      </c>
      <c r="B33" t="s">
        <v>400</v>
      </c>
      <c r="C33" s="88">
        <v>-100</v>
      </c>
      <c r="D33" s="107">
        <v>3.9611999999999998</v>
      </c>
      <c r="E33" s="88">
        <v>-101</v>
      </c>
      <c r="F33" s="88">
        <v>3.9043999999999999</v>
      </c>
      <c r="G33" s="105">
        <f t="shared" si="0"/>
        <v>5.6799999999999962E-2</v>
      </c>
      <c r="H33" s="161">
        <f t="shared" si="1"/>
        <v>-1.4339089164899517E-2</v>
      </c>
      <c r="I33" s="170">
        <f t="shared" si="2"/>
        <v>-1.4339089164899517</v>
      </c>
      <c r="J33" s="104"/>
    </row>
    <row r="34" spans="1:10" ht="18" customHeight="1">
      <c r="A34" t="s">
        <v>398</v>
      </c>
      <c r="C34" s="88">
        <v>14</v>
      </c>
      <c r="D34" s="107">
        <v>3.9611999999999998</v>
      </c>
      <c r="E34" s="88">
        <v>14.14</v>
      </c>
      <c r="F34" s="88">
        <v>3.9729000000000001</v>
      </c>
      <c r="G34" s="105">
        <f t="shared" si="0"/>
        <v>1.1700000000000266E-2</v>
      </c>
      <c r="H34" s="161">
        <f t="shared" si="1"/>
        <v>2.9536504089670468E-3</v>
      </c>
      <c r="I34" s="170">
        <f t="shared" si="2"/>
        <v>0.29536504089670468</v>
      </c>
      <c r="J34" s="104"/>
    </row>
    <row r="35" spans="1:10" ht="18" customHeight="1">
      <c r="A35" t="s">
        <v>152</v>
      </c>
      <c r="B35" t="s">
        <v>512</v>
      </c>
      <c r="C35" s="88">
        <v>1.2350000000000001</v>
      </c>
      <c r="D35" s="107">
        <v>3.9611999999999998</v>
      </c>
      <c r="E35" s="88">
        <v>1.2473500000000002</v>
      </c>
      <c r="F35" s="88">
        <v>3.9719000000000002</v>
      </c>
      <c r="G35" s="105">
        <f t="shared" si="0"/>
        <v>1.0700000000000376E-2</v>
      </c>
      <c r="H35" s="161">
        <f t="shared" si="1"/>
        <v>2.701201656063914E-3</v>
      </c>
      <c r="I35" s="170">
        <f t="shared" si="2"/>
        <v>0.2701201656063914</v>
      </c>
      <c r="J35" s="104"/>
    </row>
    <row r="36" spans="1:10">
      <c r="A36" t="s">
        <v>153</v>
      </c>
      <c r="B36" t="s">
        <v>97</v>
      </c>
      <c r="C36" s="17">
        <v>6.8400000000000002E-2</v>
      </c>
      <c r="D36" s="133">
        <v>3.9611999999999998</v>
      </c>
      <c r="E36" s="17">
        <v>6.9084000000000007E-2</v>
      </c>
      <c r="F36" s="88">
        <v>3.9721000000000002</v>
      </c>
      <c r="G36" s="105">
        <f t="shared" si="0"/>
        <v>1.0900000000000354E-2</v>
      </c>
      <c r="H36" s="161">
        <f t="shared" si="1"/>
        <v>2.7516914066445406E-3</v>
      </c>
      <c r="I36" s="170">
        <f t="shared" si="2"/>
        <v>0.27516914066445408</v>
      </c>
    </row>
    <row r="37" spans="1:10">
      <c r="A37" t="s">
        <v>166</v>
      </c>
      <c r="B37" t="s">
        <v>513</v>
      </c>
      <c r="C37" s="17">
        <v>3.91</v>
      </c>
      <c r="D37" s="133">
        <v>3.9611999999999998</v>
      </c>
      <c r="E37" s="17">
        <v>3.9491000000000001</v>
      </c>
      <c r="F37" s="88">
        <v>3.9611999999999998</v>
      </c>
      <c r="G37" s="105">
        <f t="shared" si="0"/>
        <v>0</v>
      </c>
      <c r="H37" s="161">
        <f t="shared" ref="H37:H41" si="3">(F37-D37)/ABS(D37)</f>
        <v>0</v>
      </c>
      <c r="I37" s="170">
        <f t="shared" si="2"/>
        <v>0</v>
      </c>
    </row>
    <row r="38" spans="1:10">
      <c r="A38" t="s">
        <v>291</v>
      </c>
      <c r="B38" t="s">
        <v>194</v>
      </c>
      <c r="C38" s="17">
        <v>150</v>
      </c>
      <c r="D38" s="133">
        <v>3.9611999999999998</v>
      </c>
      <c r="E38" s="17">
        <v>151.5</v>
      </c>
      <c r="F38" s="88">
        <v>3.9611999999999998</v>
      </c>
      <c r="G38" s="105">
        <f t="shared" si="0"/>
        <v>0</v>
      </c>
      <c r="H38" s="161">
        <f t="shared" si="3"/>
        <v>0</v>
      </c>
      <c r="I38" s="170">
        <f t="shared" si="2"/>
        <v>0</v>
      </c>
    </row>
    <row r="39" spans="1:10">
      <c r="A39" t="s">
        <v>290</v>
      </c>
      <c r="B39" t="s">
        <v>309</v>
      </c>
      <c r="C39" s="17">
        <v>168.12761382914061</v>
      </c>
      <c r="D39" s="133">
        <v>3.9611999999999998</v>
      </c>
      <c r="E39" s="17">
        <v>169.80888996743201</v>
      </c>
      <c r="F39" s="88">
        <v>3.9611999999999998</v>
      </c>
      <c r="G39" s="105">
        <f t="shared" si="0"/>
        <v>0</v>
      </c>
      <c r="H39" s="161">
        <f t="shared" si="3"/>
        <v>0</v>
      </c>
      <c r="I39" s="170">
        <f t="shared" si="2"/>
        <v>0</v>
      </c>
    </row>
    <row r="40" spans="1:10">
      <c r="A40" t="s">
        <v>201</v>
      </c>
      <c r="B40" t="s">
        <v>542</v>
      </c>
      <c r="C40" s="17">
        <v>3</v>
      </c>
      <c r="D40" s="133">
        <v>3.9611999999999998</v>
      </c>
      <c r="E40" s="86">
        <v>3.0300000000000002</v>
      </c>
      <c r="F40" s="88">
        <v>3.9611999999999998</v>
      </c>
      <c r="G40" s="105">
        <f t="shared" si="0"/>
        <v>0</v>
      </c>
      <c r="H40" s="161">
        <f t="shared" si="3"/>
        <v>0</v>
      </c>
      <c r="I40" s="170">
        <f t="shared" si="2"/>
        <v>0</v>
      </c>
    </row>
    <row r="41" spans="1:10">
      <c r="A41" t="s">
        <v>201</v>
      </c>
      <c r="B41" t="s">
        <v>286</v>
      </c>
      <c r="C41" s="17">
        <v>2.7215574566138385</v>
      </c>
      <c r="D41" s="133">
        <v>3.9611999999999998</v>
      </c>
      <c r="E41" s="17">
        <v>2.7487730311799767</v>
      </c>
      <c r="F41" s="88">
        <v>3.9611999999999998</v>
      </c>
      <c r="G41" s="105">
        <f t="shared" si="0"/>
        <v>0</v>
      </c>
      <c r="H41" s="161">
        <f t="shared" si="3"/>
        <v>0</v>
      </c>
      <c r="I41" s="170">
        <f t="shared" si="2"/>
        <v>0</v>
      </c>
    </row>
    <row r="42" spans="1:10">
      <c r="A42" s="6"/>
      <c r="G42" s="105"/>
      <c r="H42" s="161"/>
      <c r="I42" s="170"/>
    </row>
    <row r="43" spans="1:10">
      <c r="A43" s="6"/>
      <c r="G43" s="105"/>
      <c r="H43" s="161"/>
      <c r="I43" s="170"/>
    </row>
    <row r="44" spans="1:10">
      <c r="A44" s="6"/>
      <c r="H44" s="158"/>
    </row>
    <row r="45" spans="1:10">
      <c r="A45" s="6"/>
    </row>
    <row r="46" spans="1:10">
      <c r="A46" s="6"/>
    </row>
    <row r="47" spans="1:10">
      <c r="A47" s="6"/>
    </row>
    <row r="48" spans="1:10">
      <c r="A48" s="6"/>
      <c r="F48" s="104"/>
      <c r="G48" s="103"/>
      <c r="H48" s="103"/>
      <c r="J48"/>
    </row>
    <row r="49" spans="1:10">
      <c r="A49" s="6"/>
      <c r="F49" s="104"/>
      <c r="G49" s="103"/>
      <c r="H49" s="103"/>
      <c r="J49"/>
    </row>
    <row r="50" spans="1:10">
      <c r="A50" s="6"/>
      <c r="F50" s="104"/>
      <c r="G50" s="103"/>
      <c r="H50" s="103"/>
      <c r="J50"/>
    </row>
    <row r="51" spans="1:10">
      <c r="A51" s="6"/>
      <c r="F51" s="104"/>
      <c r="G51" s="103"/>
      <c r="H51" s="103"/>
      <c r="J51"/>
    </row>
    <row r="52" spans="1:10">
      <c r="A52" s="6"/>
      <c r="F52" s="104"/>
      <c r="G52" s="103"/>
      <c r="H52" s="103"/>
      <c r="J52"/>
    </row>
    <row r="53" spans="1:10">
      <c r="A53" s="6"/>
      <c r="F53" s="104"/>
      <c r="G53" s="103"/>
      <c r="H53" s="103"/>
      <c r="J53"/>
    </row>
    <row r="54" spans="1:10">
      <c r="A54" s="6"/>
      <c r="F54" s="104"/>
      <c r="G54" s="103"/>
      <c r="H54" s="103"/>
      <c r="J54"/>
    </row>
    <row r="55" spans="1:10">
      <c r="A55" s="6"/>
      <c r="F55" s="104"/>
      <c r="G55" s="103"/>
      <c r="H55" s="103"/>
      <c r="J55"/>
    </row>
    <row r="56" spans="1:10">
      <c r="A56" s="6"/>
      <c r="F56" s="104"/>
      <c r="G56" s="103"/>
      <c r="H56" s="103"/>
      <c r="J56"/>
    </row>
    <row r="57" spans="1:10">
      <c r="A57" s="6"/>
      <c r="F57" s="104"/>
      <c r="G57" s="103"/>
      <c r="H57" s="103"/>
      <c r="J57"/>
    </row>
    <row r="58" spans="1:10">
      <c r="F58" s="104"/>
      <c r="G58" s="103"/>
      <c r="H58" s="103"/>
      <c r="J58"/>
    </row>
    <row r="59" spans="1:10">
      <c r="F59" s="104"/>
      <c r="G59" s="103"/>
      <c r="H59" s="103"/>
      <c r="J59"/>
    </row>
    <row r="60" spans="1:10">
      <c r="F60" s="104"/>
      <c r="G60" s="103"/>
      <c r="H60" s="103"/>
      <c r="J60"/>
    </row>
    <row r="61" spans="1:10">
      <c r="F61" s="104"/>
      <c r="G61" s="103"/>
      <c r="H61" s="103"/>
      <c r="J61"/>
    </row>
    <row r="62" spans="1:10">
      <c r="F62" s="104"/>
      <c r="G62" s="103"/>
      <c r="H62" s="103"/>
      <c r="J62"/>
    </row>
    <row r="63" spans="1:10">
      <c r="F63" s="104"/>
      <c r="G63" s="103"/>
      <c r="H63" s="103"/>
      <c r="J63"/>
    </row>
    <row r="64" spans="1:10">
      <c r="F64" s="104"/>
      <c r="G64" s="103"/>
      <c r="H64" s="103"/>
      <c r="J64"/>
    </row>
    <row r="65" spans="6:10">
      <c r="F65" s="104"/>
      <c r="G65" s="103"/>
      <c r="H65" s="103"/>
      <c r="J65"/>
    </row>
    <row r="66" spans="6:10">
      <c r="F66" s="104"/>
      <c r="G66" s="103"/>
      <c r="H66" s="103"/>
      <c r="J66"/>
    </row>
    <row r="67" spans="6:10">
      <c r="F67" s="104"/>
      <c r="G67" s="103"/>
      <c r="H67" s="103"/>
      <c r="J67"/>
    </row>
    <row r="68" spans="6:10">
      <c r="F68" s="104"/>
      <c r="G68" s="103"/>
      <c r="H68" s="103"/>
      <c r="J68"/>
    </row>
    <row r="69" spans="6:10">
      <c r="F69" s="104"/>
      <c r="G69" s="103"/>
      <c r="H69" s="103"/>
      <c r="J69"/>
    </row>
    <row r="70" spans="6:10">
      <c r="F70" s="104"/>
      <c r="G70" s="103"/>
      <c r="H70" s="103"/>
      <c r="J70"/>
    </row>
    <row r="71" spans="6:10">
      <c r="F71" s="104"/>
      <c r="G71" s="103"/>
      <c r="H71" s="103"/>
      <c r="J71"/>
    </row>
    <row r="72" spans="6:10">
      <c r="F72" s="104"/>
      <c r="G72" s="103"/>
      <c r="H72" s="103"/>
      <c r="J72"/>
    </row>
    <row r="73" spans="6:10">
      <c r="F73" s="104"/>
      <c r="G73" s="103"/>
      <c r="H73" s="103"/>
      <c r="J73"/>
    </row>
    <row r="74" spans="6:10">
      <c r="F74" s="104"/>
      <c r="G74" s="103"/>
      <c r="H74" s="103"/>
      <c r="J74"/>
    </row>
    <row r="75" spans="6:10">
      <c r="F75" s="104"/>
      <c r="G75" s="103"/>
      <c r="H75" s="103"/>
      <c r="J75"/>
    </row>
    <row r="76" spans="6:10">
      <c r="F76" s="104"/>
      <c r="G76" s="103"/>
      <c r="H76" s="103"/>
      <c r="J76"/>
    </row>
    <row r="77" spans="6:10">
      <c r="F77" s="104"/>
      <c r="G77" s="103"/>
      <c r="H77" s="103"/>
      <c r="J77"/>
    </row>
    <row r="78" spans="6:10">
      <c r="F78" s="104"/>
      <c r="G78" s="103"/>
      <c r="H78" s="103"/>
      <c r="J78"/>
    </row>
    <row r="79" spans="6:10">
      <c r="F79" s="104"/>
      <c r="G79" s="103"/>
      <c r="H79" s="103"/>
      <c r="J79"/>
    </row>
    <row r="80" spans="6:10">
      <c r="F80" s="104"/>
      <c r="G80" s="103"/>
      <c r="H80" s="103"/>
      <c r="J80"/>
    </row>
    <row r="81" spans="6:10">
      <c r="F81" s="104"/>
      <c r="G81" s="103"/>
      <c r="H81" s="103"/>
      <c r="J81"/>
    </row>
    <row r="82" spans="6:10">
      <c r="F82" s="104"/>
      <c r="G82" s="103"/>
      <c r="H82" s="103"/>
      <c r="J82"/>
    </row>
    <row r="83" spans="6:10">
      <c r="F83" s="104"/>
      <c r="G83" s="103"/>
      <c r="H83" s="103"/>
      <c r="J83"/>
    </row>
    <row r="84" spans="6:10">
      <c r="F84" s="104"/>
      <c r="G84" s="103"/>
      <c r="H84" s="103"/>
      <c r="J84"/>
    </row>
    <row r="85" spans="6:10">
      <c r="F85" s="104"/>
      <c r="G85" s="103"/>
      <c r="H85" s="103"/>
      <c r="J85"/>
    </row>
    <row r="86" spans="6:10">
      <c r="F86" s="104"/>
      <c r="G86" s="103"/>
      <c r="H86" s="103"/>
      <c r="J86"/>
    </row>
  </sheetData>
  <sortState ref="A49:C87">
    <sortCondition ref="C49:C87"/>
  </sortState>
  <conditionalFormatting sqref="I42:I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</sheetPr>
  <dimension ref="A1:I36"/>
  <sheetViews>
    <sheetView zoomScale="70" zoomScaleNormal="70" workbookViewId="0">
      <selection activeCell="I2" sqref="I2:I26"/>
    </sheetView>
  </sheetViews>
  <sheetFormatPr defaultRowHeight="15.75"/>
  <cols>
    <col min="1" max="1" width="42.5" customWidth="1"/>
    <col min="2" max="9" width="21.25" style="17" customWidth="1"/>
  </cols>
  <sheetData>
    <row r="1" spans="1:9">
      <c r="A1" s="1" t="s">
        <v>333</v>
      </c>
      <c r="B1" s="3" t="s">
        <v>3</v>
      </c>
      <c r="C1" s="3" t="s">
        <v>173</v>
      </c>
      <c r="D1" s="3" t="s">
        <v>334</v>
      </c>
      <c r="E1" s="3" t="s">
        <v>175</v>
      </c>
      <c r="F1" s="3" t="s">
        <v>176</v>
      </c>
      <c r="G1" s="3" t="s">
        <v>335</v>
      </c>
      <c r="H1" s="3" t="s">
        <v>377</v>
      </c>
      <c r="I1" s="3" t="s">
        <v>371</v>
      </c>
    </row>
    <row r="2" spans="1:9">
      <c r="A2" s="6" t="s">
        <v>385</v>
      </c>
      <c r="B2" s="17" t="s">
        <v>386</v>
      </c>
      <c r="C2" s="145">
        <v>13575</v>
      </c>
      <c r="D2" s="157">
        <v>3.9611999999999998</v>
      </c>
      <c r="E2" s="17">
        <v>13710.75</v>
      </c>
      <c r="F2" s="88">
        <v>4.0454999999999997</v>
      </c>
      <c r="G2" s="105">
        <f>ABS(F2-D2)</f>
        <v>8.429999999999982E-2</v>
      </c>
      <c r="H2" s="161">
        <f>(F2-D2)/ABS(D2)</f>
        <v>2.1281429869736398E-2</v>
      </c>
      <c r="I2" s="170">
        <f>H2*100</f>
        <v>2.1281429869736397</v>
      </c>
    </row>
    <row r="3" spans="1:9">
      <c r="A3" s="6" t="s">
        <v>63</v>
      </c>
      <c r="C3" s="175">
        <v>0.5899999737739563</v>
      </c>
      <c r="D3" s="157">
        <v>3.9611999999999998</v>
      </c>
      <c r="E3" s="17">
        <v>0.59589997351169588</v>
      </c>
      <c r="F3" s="88">
        <v>4.4642999999999997</v>
      </c>
      <c r="G3" s="105">
        <f t="shared" ref="G3:G13" si="0">ABS(F3-D3)</f>
        <v>0.50309999999999988</v>
      </c>
      <c r="H3" s="161">
        <f t="shared" ref="H3:H13" si="1">(F3-D3)/ABS(D3)</f>
        <v>0.12700696758558011</v>
      </c>
      <c r="I3" s="170">
        <f t="shared" ref="I3:I26" si="2">H3*100</f>
        <v>12.700696758558012</v>
      </c>
    </row>
    <row r="4" spans="1:9">
      <c r="A4" s="6" t="s">
        <v>372</v>
      </c>
      <c r="B4" s="17" t="s">
        <v>374</v>
      </c>
      <c r="C4" s="145">
        <v>0</v>
      </c>
      <c r="D4" s="157">
        <v>3.9611999999999998</v>
      </c>
      <c r="E4" s="17">
        <v>0</v>
      </c>
      <c r="F4" s="88">
        <v>3.9611999999999998</v>
      </c>
      <c r="G4" s="105">
        <f t="shared" si="0"/>
        <v>0</v>
      </c>
      <c r="H4" s="161">
        <f t="shared" si="1"/>
        <v>0</v>
      </c>
      <c r="I4" s="170">
        <f t="shared" si="2"/>
        <v>0</v>
      </c>
    </row>
    <row r="5" spans="1:9">
      <c r="A5" s="6" t="s">
        <v>431</v>
      </c>
      <c r="B5" s="17" t="s">
        <v>432</v>
      </c>
      <c r="C5" s="145">
        <v>1.9999999552965164E-2</v>
      </c>
      <c r="D5" s="157">
        <v>3.9611999999999998</v>
      </c>
      <c r="E5" s="17">
        <v>2.0199999548494815E-2</v>
      </c>
      <c r="F5" s="88">
        <v>3.9674</v>
      </c>
      <c r="G5" s="105">
        <f t="shared" si="0"/>
        <v>6.2000000000002053E-3</v>
      </c>
      <c r="H5" s="161">
        <f t="shared" si="1"/>
        <v>1.5651822679996479E-3</v>
      </c>
      <c r="I5" s="170">
        <f t="shared" si="2"/>
        <v>0.1565182267999648</v>
      </c>
    </row>
    <row r="6" spans="1:9">
      <c r="A6" s="6" t="s">
        <v>437</v>
      </c>
      <c r="B6" s="17" t="s">
        <v>438</v>
      </c>
      <c r="C6" s="145">
        <v>15</v>
      </c>
      <c r="D6" s="157">
        <v>3.9611999999999998</v>
      </c>
      <c r="E6" s="17">
        <v>15.15</v>
      </c>
      <c r="F6" s="88">
        <v>3.9592000000000001</v>
      </c>
      <c r="G6" s="105">
        <f t="shared" si="0"/>
        <v>1.9999999999997797E-3</v>
      </c>
      <c r="H6" s="161">
        <f t="shared" si="1"/>
        <v>-5.0489750580626571E-4</v>
      </c>
      <c r="I6" s="170">
        <f t="shared" si="2"/>
        <v>-5.0489750580626575E-2</v>
      </c>
    </row>
    <row r="7" spans="1:9">
      <c r="A7" s="6" t="s">
        <v>440</v>
      </c>
      <c r="B7" s="17" t="s">
        <v>441</v>
      </c>
      <c r="C7" s="145">
        <v>1</v>
      </c>
      <c r="D7" s="157">
        <v>3.9611999999999998</v>
      </c>
      <c r="E7" s="17">
        <v>1.01</v>
      </c>
      <c r="F7" s="88">
        <v>3.9632000000000001</v>
      </c>
      <c r="G7" s="105">
        <f t="shared" si="0"/>
        <v>2.0000000000002238E-3</v>
      </c>
      <c r="H7" s="161">
        <f t="shared" si="1"/>
        <v>5.0489750580637782E-4</v>
      </c>
      <c r="I7" s="170">
        <f t="shared" si="2"/>
        <v>5.0489750580637781E-2</v>
      </c>
    </row>
    <row r="8" spans="1:9">
      <c r="A8" s="6" t="s">
        <v>448</v>
      </c>
      <c r="C8" s="145">
        <v>5</v>
      </c>
      <c r="D8" s="157">
        <v>3.9611999999999998</v>
      </c>
      <c r="E8" s="17">
        <v>5.05</v>
      </c>
      <c r="F8" s="88">
        <v>3.9634</v>
      </c>
      <c r="G8" s="105">
        <f t="shared" si="0"/>
        <v>2.2000000000002018E-3</v>
      </c>
      <c r="H8" s="161">
        <f t="shared" si="1"/>
        <v>5.5538725638700447E-4</v>
      </c>
      <c r="I8" s="170">
        <f t="shared" si="2"/>
        <v>5.5538725638700444E-2</v>
      </c>
    </row>
    <row r="9" spans="1:9">
      <c r="A9" s="6" t="s">
        <v>451</v>
      </c>
      <c r="B9" s="17" t="s">
        <v>452</v>
      </c>
      <c r="C9" s="145">
        <v>74000</v>
      </c>
      <c r="D9" s="157">
        <v>3.9611999999999998</v>
      </c>
      <c r="E9" s="17">
        <v>74740</v>
      </c>
      <c r="F9" s="88">
        <v>3.9634</v>
      </c>
      <c r="G9" s="105">
        <f t="shared" si="0"/>
        <v>2.2000000000002018E-3</v>
      </c>
      <c r="H9" s="161">
        <f t="shared" si="1"/>
        <v>5.5538725638700447E-4</v>
      </c>
      <c r="I9" s="170">
        <f t="shared" si="2"/>
        <v>5.5538725638700444E-2</v>
      </c>
    </row>
    <row r="10" spans="1:9">
      <c r="A10" s="6" t="s">
        <v>103</v>
      </c>
      <c r="C10" s="145">
        <v>0.1468999981880188</v>
      </c>
      <c r="D10" s="157">
        <v>3.9611999999999998</v>
      </c>
      <c r="E10" s="17">
        <v>0.14836899816989899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</row>
    <row r="11" spans="1:9">
      <c r="A11" s="6" t="s">
        <v>104</v>
      </c>
      <c r="C11" s="145">
        <v>111.25700378417969</v>
      </c>
      <c r="D11" s="157">
        <v>3.9611999999999998</v>
      </c>
      <c r="E11" s="17">
        <v>112.36957382202148</v>
      </c>
      <c r="F11" s="88">
        <v>3.9611999999999998</v>
      </c>
      <c r="G11" s="105">
        <f t="shared" si="0"/>
        <v>0</v>
      </c>
      <c r="H11" s="161">
        <f t="shared" si="1"/>
        <v>0</v>
      </c>
      <c r="I11" s="170">
        <f t="shared" si="2"/>
        <v>0</v>
      </c>
    </row>
    <row r="12" spans="1:9">
      <c r="A12" s="6" t="s">
        <v>373</v>
      </c>
      <c r="B12" s="17" t="s">
        <v>461</v>
      </c>
      <c r="C12" s="145">
        <v>0</v>
      </c>
      <c r="D12" s="157">
        <v>3.9611999999999998</v>
      </c>
      <c r="E12" s="17">
        <v>0</v>
      </c>
      <c r="F12" s="88">
        <v>3.9611999999999998</v>
      </c>
      <c r="G12" s="105">
        <f t="shared" si="0"/>
        <v>0</v>
      </c>
      <c r="H12" s="161">
        <f t="shared" si="1"/>
        <v>0</v>
      </c>
      <c r="I12" s="170">
        <f t="shared" si="2"/>
        <v>0</v>
      </c>
    </row>
    <row r="13" spans="1:9">
      <c r="A13" s="6" t="s">
        <v>107</v>
      </c>
      <c r="B13" s="17" t="s">
        <v>64</v>
      </c>
      <c r="C13" s="145">
        <v>0</v>
      </c>
      <c r="D13" s="157">
        <v>3.9611999999999998</v>
      </c>
      <c r="E13" s="17">
        <v>0</v>
      </c>
      <c r="F13" s="88">
        <v>3.9611999999999998</v>
      </c>
      <c r="G13" s="105">
        <f t="shared" si="0"/>
        <v>0</v>
      </c>
      <c r="H13" s="161">
        <f t="shared" si="1"/>
        <v>0</v>
      </c>
      <c r="I13" s="170">
        <f t="shared" si="2"/>
        <v>0</v>
      </c>
    </row>
    <row r="14" spans="1:9">
      <c r="A14" s="6" t="s">
        <v>115</v>
      </c>
      <c r="B14" s="17" t="s">
        <v>64</v>
      </c>
      <c r="C14" s="145">
        <v>0</v>
      </c>
      <c r="D14" s="157">
        <v>3.9611999999999998</v>
      </c>
      <c r="E14" s="17">
        <v>0</v>
      </c>
      <c r="F14" s="88">
        <v>3.9611999999999998</v>
      </c>
      <c r="G14" s="105">
        <f t="shared" ref="G14:G25" si="3">ABS(F14-D14)</f>
        <v>0</v>
      </c>
      <c r="H14" s="161">
        <f t="shared" ref="H14:H25" si="4">(F14-D14)/ABS(D14)</f>
        <v>0</v>
      </c>
      <c r="I14" s="170">
        <f t="shared" si="2"/>
        <v>0</v>
      </c>
    </row>
    <row r="15" spans="1:9">
      <c r="A15" s="6" t="s">
        <v>366</v>
      </c>
      <c r="B15" s="17" t="s">
        <v>367</v>
      </c>
      <c r="C15" s="145">
        <v>9.5408000946044922</v>
      </c>
      <c r="D15" s="157">
        <v>3.9611999999999998</v>
      </c>
      <c r="E15" s="17">
        <v>9.636208095550538</v>
      </c>
      <c r="F15" s="88">
        <v>4.0566000000000004</v>
      </c>
      <c r="G15" s="105">
        <f t="shared" si="3"/>
        <v>9.5400000000000595E-2</v>
      </c>
      <c r="H15" s="161">
        <f t="shared" si="4"/>
        <v>2.4083611026961677E-2</v>
      </c>
      <c r="I15" s="170">
        <f t="shared" si="2"/>
        <v>2.4083611026961678</v>
      </c>
    </row>
    <row r="16" spans="1:9">
      <c r="A16" s="6" t="s">
        <v>414</v>
      </c>
      <c r="B16" s="17" t="s">
        <v>423</v>
      </c>
      <c r="C16" s="145">
        <v>0.20999999344348907</v>
      </c>
      <c r="D16" s="157">
        <v>3.9611999999999998</v>
      </c>
      <c r="E16" s="17">
        <v>0.21209999337792396</v>
      </c>
      <c r="F16" s="88">
        <v>4.0388000000000002</v>
      </c>
      <c r="G16" s="105">
        <f t="shared" si="3"/>
        <v>7.7600000000000335E-2</v>
      </c>
      <c r="H16" s="161">
        <f t="shared" si="4"/>
        <v>1.9590023225285351E-2</v>
      </c>
      <c r="I16" s="170">
        <f t="shared" si="2"/>
        <v>1.9590023225285351</v>
      </c>
    </row>
    <row r="17" spans="1:9">
      <c r="A17" s="6" t="s">
        <v>416</v>
      </c>
      <c r="B17" s="17" t="s">
        <v>418</v>
      </c>
      <c r="C17" s="145">
        <v>2.2000000476837158</v>
      </c>
      <c r="D17" s="157">
        <v>3.9611999999999998</v>
      </c>
      <c r="E17" s="17">
        <v>2.2220000481605529</v>
      </c>
      <c r="F17" s="88">
        <v>3.9813999999999998</v>
      </c>
      <c r="G17" s="105">
        <f t="shared" si="3"/>
        <v>2.0199999999999996E-2</v>
      </c>
      <c r="H17" s="161">
        <f t="shared" si="4"/>
        <v>5.0994648086438443E-3</v>
      </c>
      <c r="I17" s="170">
        <f t="shared" si="2"/>
        <v>0.50994648086438443</v>
      </c>
    </row>
    <row r="18" spans="1:9">
      <c r="A18" t="s">
        <v>83</v>
      </c>
      <c r="B18" s="17" t="s">
        <v>86</v>
      </c>
      <c r="C18" s="17">
        <v>190000</v>
      </c>
      <c r="D18" s="88">
        <v>3.9611999999999998</v>
      </c>
      <c r="E18" s="17">
        <v>191900</v>
      </c>
      <c r="F18" s="88">
        <v>3.9961000000000002</v>
      </c>
      <c r="G18" s="105">
        <f t="shared" si="3"/>
        <v>3.4900000000000375E-2</v>
      </c>
      <c r="H18" s="161">
        <f t="shared" si="4"/>
        <v>8.8104614763204019E-3</v>
      </c>
      <c r="I18" s="170">
        <f t="shared" si="2"/>
        <v>0.88104614763204014</v>
      </c>
    </row>
    <row r="19" spans="1:9">
      <c r="A19" t="s">
        <v>141</v>
      </c>
      <c r="B19" s="17" t="s">
        <v>332</v>
      </c>
      <c r="C19" s="17">
        <v>8300</v>
      </c>
      <c r="D19" s="88">
        <v>3.9611999999999998</v>
      </c>
      <c r="E19" s="17">
        <v>8383</v>
      </c>
      <c r="F19" s="88">
        <v>3.9266000000000001</v>
      </c>
      <c r="G19" s="105">
        <f t="shared" si="3"/>
        <v>3.4599999999999742E-2</v>
      </c>
      <c r="H19" s="161">
        <f t="shared" si="4"/>
        <v>-8.7347268504492943E-3</v>
      </c>
      <c r="I19" s="170">
        <f t="shared" si="2"/>
        <v>-0.87347268504492948</v>
      </c>
    </row>
    <row r="20" spans="1:9">
      <c r="A20" t="s">
        <v>545</v>
      </c>
      <c r="B20" s="17" t="s">
        <v>88</v>
      </c>
      <c r="C20" s="17">
        <v>0.10000000149011612</v>
      </c>
      <c r="D20" s="88">
        <v>3.9611999999999998</v>
      </c>
      <c r="E20" s="17">
        <v>0.10100000150501728</v>
      </c>
      <c r="F20" s="88">
        <v>3.9698000000000002</v>
      </c>
      <c r="G20" s="105">
        <f t="shared" si="3"/>
        <v>8.6000000000003851E-3</v>
      </c>
      <c r="H20" s="161">
        <f t="shared" si="4"/>
        <v>2.1710592749672789E-3</v>
      </c>
      <c r="I20" s="170">
        <f t="shared" si="2"/>
        <v>0.21710592749672789</v>
      </c>
    </row>
    <row r="21" spans="1:9">
      <c r="A21" t="s">
        <v>554</v>
      </c>
      <c r="B21" s="17" t="s">
        <v>547</v>
      </c>
      <c r="C21" s="17">
        <v>1200</v>
      </c>
      <c r="D21" s="88">
        <v>3.9611999999999998</v>
      </c>
      <c r="E21" s="17">
        <v>1212</v>
      </c>
      <c r="F21" s="88">
        <v>3.9855999999999998</v>
      </c>
      <c r="G21" s="105">
        <f t="shared" si="3"/>
        <v>2.4399999999999977E-2</v>
      </c>
      <c r="H21" s="161">
        <f t="shared" si="4"/>
        <v>6.1597495708371145E-3</v>
      </c>
      <c r="I21" s="170">
        <f t="shared" si="2"/>
        <v>0.61597495708371142</v>
      </c>
    </row>
    <row r="22" spans="1:9">
      <c r="A22" t="s">
        <v>454</v>
      </c>
      <c r="B22" s="17" t="s">
        <v>455</v>
      </c>
      <c r="C22" s="17">
        <v>0.52999997138977051</v>
      </c>
      <c r="D22" s="88">
        <v>3.9611999999999998</v>
      </c>
      <c r="E22" s="17">
        <v>0.53529997110366823</v>
      </c>
      <c r="F22" s="88">
        <v>3.9615</v>
      </c>
      <c r="G22" s="105">
        <f t="shared" si="3"/>
        <v>3.00000000000189E-4</v>
      </c>
      <c r="H22" s="161">
        <f t="shared" si="4"/>
        <v>7.5734625870995916E-5</v>
      </c>
      <c r="I22" s="170">
        <f t="shared" si="2"/>
        <v>7.5734625870995916E-3</v>
      </c>
    </row>
    <row r="23" spans="1:9">
      <c r="A23" t="s">
        <v>465</v>
      </c>
      <c r="C23" s="17">
        <v>0.94999998807907104</v>
      </c>
      <c r="D23" s="17">
        <v>3.9611999999999998</v>
      </c>
      <c r="E23" s="17">
        <v>0.9594999879598618</v>
      </c>
      <c r="F23" s="88">
        <v>3.9611999999999998</v>
      </c>
      <c r="G23" s="105">
        <f t="shared" si="3"/>
        <v>0</v>
      </c>
      <c r="H23" s="161">
        <f t="shared" si="4"/>
        <v>0</v>
      </c>
      <c r="I23" s="170">
        <f t="shared" si="2"/>
        <v>0</v>
      </c>
    </row>
    <row r="24" spans="1:9">
      <c r="A24" t="s">
        <v>466</v>
      </c>
      <c r="B24" s="17" t="s">
        <v>467</v>
      </c>
      <c r="C24" s="17">
        <v>12</v>
      </c>
      <c r="D24" s="17">
        <v>3.9611999999999998</v>
      </c>
      <c r="E24" s="17">
        <v>12.120000000000001</v>
      </c>
      <c r="F24" s="88">
        <v>3.9565999999999999</v>
      </c>
      <c r="G24" s="105">
        <f t="shared" si="3"/>
        <v>4.5999999999999375E-3</v>
      </c>
      <c r="H24" s="161">
        <f t="shared" si="4"/>
        <v>-1.1612642633545233E-3</v>
      </c>
      <c r="I24" s="170">
        <f t="shared" si="2"/>
        <v>-0.11612642633545232</v>
      </c>
    </row>
    <row r="25" spans="1:9">
      <c r="A25" t="s">
        <v>476</v>
      </c>
      <c r="C25" s="17">
        <v>0.5</v>
      </c>
      <c r="D25" s="17">
        <v>3.9611999999999998</v>
      </c>
      <c r="E25" s="17">
        <v>0.505</v>
      </c>
      <c r="F25" s="88">
        <v>3.9565999999999999</v>
      </c>
      <c r="G25" s="105">
        <f t="shared" si="3"/>
        <v>4.5999999999999375E-3</v>
      </c>
      <c r="H25" s="161">
        <f t="shared" si="4"/>
        <v>-1.1612642633545233E-3</v>
      </c>
      <c r="I25" s="170">
        <f t="shared" si="2"/>
        <v>-0.11612642633545232</v>
      </c>
    </row>
    <row r="26" spans="1:9">
      <c r="A26" t="s">
        <v>490</v>
      </c>
      <c r="B26" s="17" t="s">
        <v>409</v>
      </c>
      <c r="C26" s="17">
        <v>80.360000610351563</v>
      </c>
      <c r="D26" s="17">
        <v>3.9611999999999998</v>
      </c>
      <c r="E26" s="17">
        <v>81.163600616455085</v>
      </c>
      <c r="F26" s="88">
        <v>3.8483000000000001</v>
      </c>
      <c r="G26" s="105">
        <f t="shared" ref="G26" si="5">ABS(F26-D26)</f>
        <v>0.11289999999999978</v>
      </c>
      <c r="H26" s="161">
        <f t="shared" ref="H26" si="6">(F26-D26)/ABS(D26)</f>
        <v>-2.8501464202766783E-2</v>
      </c>
      <c r="I26" s="170">
        <f t="shared" si="2"/>
        <v>-2.8501464202766784</v>
      </c>
    </row>
    <row r="27" spans="1:9">
      <c r="D27" s="17">
        <v>3.9611999999999998</v>
      </c>
      <c r="E27" s="17">
        <v>0</v>
      </c>
      <c r="F27" s="88"/>
      <c r="G27" s="105"/>
      <c r="H27" s="161"/>
      <c r="I27" s="170"/>
    </row>
    <row r="28" spans="1:9">
      <c r="F28" s="88"/>
      <c r="G28" s="105"/>
      <c r="H28" s="161"/>
      <c r="I28" s="170"/>
    </row>
    <row r="29" spans="1:9">
      <c r="F29" s="88"/>
      <c r="G29" s="105"/>
      <c r="H29" s="161"/>
      <c r="I29" s="170"/>
    </row>
    <row r="30" spans="1:9">
      <c r="F30" s="88"/>
      <c r="G30" s="105"/>
      <c r="H30" s="161"/>
      <c r="I30" s="170"/>
    </row>
    <row r="31" spans="1:9">
      <c r="F31" s="88"/>
      <c r="G31" s="105"/>
      <c r="H31" s="161"/>
      <c r="I31" s="170"/>
    </row>
    <row r="32" spans="1:9">
      <c r="F32" s="88"/>
      <c r="G32" s="105"/>
      <c r="H32" s="161"/>
      <c r="I32" s="170"/>
    </row>
    <row r="33" spans="6:9">
      <c r="F33" s="88"/>
      <c r="G33" s="105"/>
      <c r="H33" s="161"/>
      <c r="I33" s="170"/>
    </row>
    <row r="34" spans="6:9">
      <c r="G34" s="105"/>
      <c r="H34" s="161"/>
      <c r="I34" s="170"/>
    </row>
    <row r="35" spans="6:9">
      <c r="G35" s="105"/>
      <c r="H35" s="161"/>
      <c r="I35" s="170"/>
    </row>
    <row r="36" spans="6:9">
      <c r="G36" s="105"/>
      <c r="H36" s="161"/>
      <c r="I36" s="170"/>
    </row>
  </sheetData>
  <conditionalFormatting sqref="I33:I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/>
  </sheetPr>
  <dimension ref="A1:Q65"/>
  <sheetViews>
    <sheetView zoomScale="70" zoomScaleNormal="70" workbookViewId="0">
      <selection activeCell="O1" sqref="O1:P10"/>
    </sheetView>
  </sheetViews>
  <sheetFormatPr defaultRowHeight="15.75"/>
  <cols>
    <col min="1" max="1" width="53.375" bestFit="1" customWidth="1"/>
    <col min="15" max="15" width="53.375" bestFit="1" customWidth="1"/>
  </cols>
  <sheetData>
    <row r="1" spans="1:17">
      <c r="A1" t="s">
        <v>10</v>
      </c>
      <c r="B1">
        <v>-1.7015045945672949</v>
      </c>
      <c r="C1">
        <f>ABS(B1)</f>
        <v>1.7015045945672949</v>
      </c>
      <c r="O1" s="6" t="s">
        <v>63</v>
      </c>
      <c r="P1">
        <v>12.700696758558012</v>
      </c>
      <c r="Q1">
        <v>12.700696758558012</v>
      </c>
    </row>
    <row r="2" spans="1:17">
      <c r="A2" t="s">
        <v>14</v>
      </c>
      <c r="B2" s="170">
        <v>-7.8890235282237704</v>
      </c>
      <c r="C2">
        <f t="shared" ref="C2:C65" si="0">ABS(B2)</f>
        <v>7.8890235282237704</v>
      </c>
      <c r="O2" t="s">
        <v>14</v>
      </c>
      <c r="P2">
        <v>-7.8890235282237704</v>
      </c>
      <c r="Q2">
        <v>7.8890235282237704</v>
      </c>
    </row>
    <row r="3" spans="1:17">
      <c r="A3" t="s">
        <v>387</v>
      </c>
      <c r="B3" s="170">
        <v>1.2521458143996735</v>
      </c>
      <c r="C3">
        <f t="shared" si="0"/>
        <v>1.2521458143996735</v>
      </c>
      <c r="O3" t="s">
        <v>509</v>
      </c>
      <c r="P3">
        <v>-6.2405331717661285</v>
      </c>
      <c r="Q3">
        <v>6.2405331717661285</v>
      </c>
    </row>
    <row r="4" spans="1:17">
      <c r="A4" t="s">
        <v>48</v>
      </c>
      <c r="B4" s="170">
        <v>-0.56800969403211066</v>
      </c>
      <c r="C4">
        <f t="shared" si="0"/>
        <v>0.56800969403211066</v>
      </c>
      <c r="O4" t="s">
        <v>198</v>
      </c>
      <c r="P4">
        <v>-5.9678885186307111</v>
      </c>
      <c r="Q4">
        <v>5.9678885186307111</v>
      </c>
    </row>
    <row r="5" spans="1:17">
      <c r="A5" t="s">
        <v>177</v>
      </c>
      <c r="B5" s="170">
        <v>-1.0400888619610196</v>
      </c>
      <c r="C5">
        <f t="shared" si="0"/>
        <v>1.0400888619610196</v>
      </c>
      <c r="O5" t="s">
        <v>519</v>
      </c>
      <c r="P5">
        <v>-4.1755023730182774</v>
      </c>
      <c r="Q5">
        <v>4.1755023730182774</v>
      </c>
    </row>
    <row r="6" spans="1:17">
      <c r="A6" t="s">
        <v>134</v>
      </c>
      <c r="B6" s="170">
        <v>5.0489750580626569E-3</v>
      </c>
      <c r="C6">
        <f t="shared" si="0"/>
        <v>5.0489750580626569E-3</v>
      </c>
      <c r="O6" t="s">
        <v>169</v>
      </c>
      <c r="P6">
        <v>-4.1755023730182774</v>
      </c>
      <c r="Q6">
        <v>4.1755023730182774</v>
      </c>
    </row>
    <row r="7" spans="1:17">
      <c r="A7" t="s">
        <v>509</v>
      </c>
      <c r="B7" s="170">
        <v>-6.2405331717661285</v>
      </c>
      <c r="C7">
        <f t="shared" si="0"/>
        <v>6.2405331717661285</v>
      </c>
      <c r="O7" t="s">
        <v>396</v>
      </c>
      <c r="P7">
        <v>-3.9861658083408997</v>
      </c>
      <c r="Q7">
        <v>3.9861658083408997</v>
      </c>
    </row>
    <row r="8" spans="1:17">
      <c r="A8" t="s">
        <v>519</v>
      </c>
      <c r="B8" s="170">
        <v>-4.1755023730182774</v>
      </c>
      <c r="C8">
        <f t="shared" si="0"/>
        <v>4.1755023730182774</v>
      </c>
      <c r="O8" t="s">
        <v>520</v>
      </c>
      <c r="P8">
        <v>-3.7539129556699948</v>
      </c>
      <c r="Q8">
        <v>3.7539129556699948</v>
      </c>
    </row>
    <row r="9" spans="1:17">
      <c r="A9" t="s">
        <v>424</v>
      </c>
      <c r="B9" s="170">
        <v>0</v>
      </c>
      <c r="C9">
        <f t="shared" si="0"/>
        <v>0</v>
      </c>
      <c r="O9" t="s">
        <v>171</v>
      </c>
      <c r="P9">
        <v>-3.7539129556699948</v>
      </c>
      <c r="Q9">
        <v>3.7539129556699948</v>
      </c>
    </row>
    <row r="10" spans="1:17">
      <c r="A10" t="s">
        <v>168</v>
      </c>
      <c r="B10" s="170">
        <v>0.58820559426437247</v>
      </c>
      <c r="C10">
        <f t="shared" si="0"/>
        <v>0.58820559426437247</v>
      </c>
      <c r="O10" t="s">
        <v>21</v>
      </c>
      <c r="P10">
        <v>-3.5342825406442415</v>
      </c>
      <c r="Q10">
        <v>3.5342825406442415</v>
      </c>
    </row>
    <row r="11" spans="1:17">
      <c r="A11" t="s">
        <v>169</v>
      </c>
      <c r="B11">
        <v>-4.1755023730182774</v>
      </c>
      <c r="C11">
        <f t="shared" si="0"/>
        <v>4.1755023730182774</v>
      </c>
      <c r="O11" t="s">
        <v>490</v>
      </c>
      <c r="P11">
        <v>-2.8501464202766784</v>
      </c>
      <c r="Q11">
        <v>2.8501464202766784</v>
      </c>
    </row>
    <row r="12" spans="1:17">
      <c r="A12" t="s">
        <v>50</v>
      </c>
      <c r="B12">
        <v>-1.8933656467736981</v>
      </c>
      <c r="C12">
        <f t="shared" si="0"/>
        <v>1.8933656467736981</v>
      </c>
      <c r="O12" s="6" t="s">
        <v>366</v>
      </c>
      <c r="P12">
        <v>2.4083611026961678</v>
      </c>
      <c r="Q12">
        <v>2.4083611026961678</v>
      </c>
    </row>
    <row r="13" spans="1:17">
      <c r="A13" t="s">
        <v>165</v>
      </c>
      <c r="B13" s="170">
        <v>-2.0423104109865635</v>
      </c>
      <c r="C13">
        <f t="shared" si="0"/>
        <v>2.0423104109865635</v>
      </c>
      <c r="O13" s="6" t="s">
        <v>385</v>
      </c>
      <c r="P13">
        <v>2.1281429869736397</v>
      </c>
      <c r="Q13">
        <v>2.1281429869736397</v>
      </c>
    </row>
    <row r="14" spans="1:17">
      <c r="A14" t="s">
        <v>520</v>
      </c>
      <c r="B14" s="170">
        <v>-3.7539129556699948</v>
      </c>
      <c r="C14">
        <f t="shared" si="0"/>
        <v>3.7539129556699948</v>
      </c>
      <c r="O14" t="s">
        <v>165</v>
      </c>
      <c r="P14">
        <v>-2.0423104109865635</v>
      </c>
      <c r="Q14">
        <v>2.0423104109865635</v>
      </c>
    </row>
    <row r="15" spans="1:17">
      <c r="A15" t="s">
        <v>170</v>
      </c>
      <c r="B15">
        <v>1.3455518529738495</v>
      </c>
      <c r="C15">
        <f t="shared" si="0"/>
        <v>1.3455518529738495</v>
      </c>
      <c r="O15" t="s">
        <v>13</v>
      </c>
      <c r="P15">
        <v>-2.0423104109865635</v>
      </c>
      <c r="Q15">
        <v>2.0423104109865635</v>
      </c>
    </row>
    <row r="16" spans="1:17">
      <c r="A16" t="s">
        <v>171</v>
      </c>
      <c r="B16" s="170">
        <v>-3.7539129556699948</v>
      </c>
      <c r="C16">
        <f t="shared" si="0"/>
        <v>3.7539129556699948</v>
      </c>
      <c r="O16" s="6" t="s">
        <v>414</v>
      </c>
      <c r="P16">
        <v>1.9590023225285351</v>
      </c>
      <c r="Q16">
        <v>1.9590023225285351</v>
      </c>
    </row>
    <row r="17" spans="1:17">
      <c r="A17" t="s">
        <v>60</v>
      </c>
      <c r="B17">
        <v>-0.83560537210945385</v>
      </c>
      <c r="C17">
        <f t="shared" si="0"/>
        <v>0.83560537210945385</v>
      </c>
      <c r="O17" t="s">
        <v>287</v>
      </c>
      <c r="P17">
        <v>1.9564778349995098</v>
      </c>
      <c r="Q17">
        <v>1.9564778349995098</v>
      </c>
    </row>
    <row r="18" spans="1:17">
      <c r="A18" t="s">
        <v>172</v>
      </c>
      <c r="B18" s="170">
        <v>1.8479248712511345</v>
      </c>
      <c r="C18">
        <f t="shared" si="0"/>
        <v>1.8479248712511345</v>
      </c>
      <c r="O18" t="s">
        <v>50</v>
      </c>
      <c r="P18">
        <v>-1.8933656467736981</v>
      </c>
      <c r="Q18">
        <v>1.8933656467736981</v>
      </c>
    </row>
    <row r="19" spans="1:17">
      <c r="A19" t="s">
        <v>13</v>
      </c>
      <c r="B19" s="170">
        <v>-2.0423104109865635</v>
      </c>
      <c r="C19">
        <f t="shared" si="0"/>
        <v>2.0423104109865635</v>
      </c>
      <c r="O19" t="s">
        <v>172</v>
      </c>
      <c r="P19">
        <v>1.8479248712511345</v>
      </c>
      <c r="Q19">
        <v>1.8479248712511345</v>
      </c>
    </row>
    <row r="20" spans="1:17">
      <c r="A20" t="s">
        <v>164</v>
      </c>
      <c r="B20" s="170">
        <v>-8.5832575987065174E-2</v>
      </c>
      <c r="C20">
        <f t="shared" si="0"/>
        <v>8.5832575987065174E-2</v>
      </c>
      <c r="O20" t="s">
        <v>10</v>
      </c>
      <c r="P20">
        <v>-1.7015045945672949</v>
      </c>
      <c r="Q20">
        <v>1.7015045945672949</v>
      </c>
    </row>
    <row r="21" spans="1:17">
      <c r="A21" t="s">
        <v>143</v>
      </c>
      <c r="B21" s="170">
        <v>-1.1208724628900333</v>
      </c>
      <c r="C21">
        <f t="shared" si="0"/>
        <v>1.1208724628900333</v>
      </c>
      <c r="O21" t="s">
        <v>397</v>
      </c>
      <c r="P21">
        <v>-1.4339089164899517</v>
      </c>
      <c r="Q21">
        <v>1.4339089164899517</v>
      </c>
    </row>
    <row r="22" spans="1:17">
      <c r="A22" t="s">
        <v>21</v>
      </c>
      <c r="B22" s="170">
        <v>-3.5342825406442415</v>
      </c>
      <c r="C22">
        <f t="shared" si="0"/>
        <v>3.5342825406442415</v>
      </c>
      <c r="O22" t="s">
        <v>71</v>
      </c>
      <c r="P22">
        <v>-1.3657477532061002</v>
      </c>
      <c r="Q22">
        <v>1.3657477532061002</v>
      </c>
    </row>
    <row r="23" spans="1:17">
      <c r="A23" t="s">
        <v>70</v>
      </c>
      <c r="B23" s="170">
        <v>1.0577602746642445</v>
      </c>
      <c r="C23">
        <f t="shared" si="0"/>
        <v>1.0577602746642445</v>
      </c>
      <c r="O23" t="s">
        <v>170</v>
      </c>
      <c r="P23">
        <v>1.3455518529738495</v>
      </c>
      <c r="Q23">
        <v>1.3455518529738495</v>
      </c>
    </row>
    <row r="24" spans="1:17">
      <c r="A24" t="s">
        <v>71</v>
      </c>
      <c r="B24" s="170">
        <v>-1.3657477532061002</v>
      </c>
      <c r="C24">
        <f t="shared" si="0"/>
        <v>1.3657477532061002</v>
      </c>
      <c r="O24" t="s">
        <v>387</v>
      </c>
      <c r="P24">
        <v>1.2521458143996735</v>
      </c>
      <c r="Q24">
        <v>1.2521458143996735</v>
      </c>
    </row>
    <row r="25" spans="1:17">
      <c r="A25" t="s">
        <v>65</v>
      </c>
      <c r="B25" s="170">
        <v>0</v>
      </c>
      <c r="C25">
        <f t="shared" si="0"/>
        <v>0</v>
      </c>
      <c r="O25" t="s">
        <v>143</v>
      </c>
      <c r="P25">
        <v>-1.1208724628900333</v>
      </c>
      <c r="Q25">
        <v>1.1208724628900333</v>
      </c>
    </row>
    <row r="26" spans="1:17">
      <c r="A26" t="s">
        <v>287</v>
      </c>
      <c r="B26" s="170">
        <v>1.9564778349995098</v>
      </c>
      <c r="C26">
        <f t="shared" si="0"/>
        <v>1.9564778349995098</v>
      </c>
      <c r="O26" t="s">
        <v>70</v>
      </c>
      <c r="P26">
        <v>1.0577602746642445</v>
      </c>
      <c r="Q26">
        <v>1.0577602746642445</v>
      </c>
    </row>
    <row r="27" spans="1:17">
      <c r="A27" t="s">
        <v>101</v>
      </c>
      <c r="B27" s="170">
        <v>0</v>
      </c>
      <c r="C27">
        <f t="shared" si="0"/>
        <v>0</v>
      </c>
      <c r="O27" t="s">
        <v>177</v>
      </c>
      <c r="P27">
        <v>-1.0400888619610196</v>
      </c>
      <c r="Q27">
        <v>1.0400888619610196</v>
      </c>
    </row>
    <row r="28" spans="1:17">
      <c r="A28" t="s">
        <v>89</v>
      </c>
      <c r="B28">
        <v>0.17166515197415277</v>
      </c>
      <c r="C28">
        <f t="shared" si="0"/>
        <v>0.17166515197415277</v>
      </c>
      <c r="O28" t="s">
        <v>83</v>
      </c>
      <c r="P28">
        <v>0.88104614763204014</v>
      </c>
      <c r="Q28">
        <v>0.88104614763204014</v>
      </c>
    </row>
    <row r="29" spans="1:17">
      <c r="A29" t="s">
        <v>426</v>
      </c>
      <c r="B29">
        <v>-0.11612642633545232</v>
      </c>
      <c r="C29">
        <f t="shared" si="0"/>
        <v>0.11612642633545232</v>
      </c>
      <c r="O29" t="s">
        <v>141</v>
      </c>
      <c r="P29">
        <v>-0.87347268504492948</v>
      </c>
      <c r="Q29">
        <v>0.87347268504492948</v>
      </c>
    </row>
    <row r="30" spans="1:17">
      <c r="A30" t="s">
        <v>198</v>
      </c>
      <c r="B30">
        <v>-5.9678885186307111</v>
      </c>
      <c r="C30">
        <f t="shared" si="0"/>
        <v>5.9678885186307111</v>
      </c>
      <c r="O30" t="s">
        <v>60</v>
      </c>
      <c r="P30">
        <v>-0.83560537210945385</v>
      </c>
      <c r="Q30">
        <v>0.83560537210945385</v>
      </c>
    </row>
    <row r="31" spans="1:17">
      <c r="A31" t="s">
        <v>396</v>
      </c>
      <c r="B31" s="170">
        <v>-3.9861658083408997</v>
      </c>
      <c r="C31">
        <f t="shared" si="0"/>
        <v>3.9861658083408997</v>
      </c>
      <c r="O31" t="s">
        <v>554</v>
      </c>
      <c r="P31">
        <v>0.61597495708371142</v>
      </c>
      <c r="Q31">
        <v>0.61597495708371142</v>
      </c>
    </row>
    <row r="32" spans="1:17">
      <c r="A32" t="s">
        <v>397</v>
      </c>
      <c r="B32" s="170">
        <v>-1.4339089164899517</v>
      </c>
      <c r="C32">
        <f t="shared" si="0"/>
        <v>1.4339089164899517</v>
      </c>
      <c r="O32" t="s">
        <v>168</v>
      </c>
      <c r="P32">
        <v>0.58820559426437247</v>
      </c>
      <c r="Q32">
        <v>0.58820559426437247</v>
      </c>
    </row>
    <row r="33" spans="1:17">
      <c r="A33" t="s">
        <v>398</v>
      </c>
      <c r="B33" s="170">
        <v>0.29536504089670468</v>
      </c>
      <c r="C33">
        <f t="shared" si="0"/>
        <v>0.29536504089670468</v>
      </c>
      <c r="O33" t="s">
        <v>48</v>
      </c>
      <c r="P33">
        <v>-0.56800969403211066</v>
      </c>
      <c r="Q33">
        <v>0.56800969403211066</v>
      </c>
    </row>
    <row r="34" spans="1:17">
      <c r="A34" t="s">
        <v>152</v>
      </c>
      <c r="B34">
        <v>0.2701201656063914</v>
      </c>
      <c r="C34">
        <f t="shared" si="0"/>
        <v>0.2701201656063914</v>
      </c>
      <c r="O34" s="6" t="s">
        <v>416</v>
      </c>
      <c r="P34">
        <v>0.50994648086438443</v>
      </c>
      <c r="Q34">
        <v>0.50994648086438443</v>
      </c>
    </row>
    <row r="35" spans="1:17">
      <c r="A35" t="s">
        <v>153</v>
      </c>
      <c r="B35">
        <v>0.27516914066445408</v>
      </c>
      <c r="C35">
        <f t="shared" si="0"/>
        <v>0.27516914066445408</v>
      </c>
      <c r="O35" t="s">
        <v>398</v>
      </c>
      <c r="P35">
        <v>0.29536504089670468</v>
      </c>
      <c r="Q35">
        <v>0.29536504089670468</v>
      </c>
    </row>
    <row r="36" spans="1:17">
      <c r="A36" t="s">
        <v>166</v>
      </c>
      <c r="B36" s="170">
        <v>0</v>
      </c>
      <c r="C36">
        <f t="shared" si="0"/>
        <v>0</v>
      </c>
      <c r="O36" t="s">
        <v>153</v>
      </c>
      <c r="P36">
        <v>0.27516914066445408</v>
      </c>
      <c r="Q36">
        <v>0.27516914066445408</v>
      </c>
    </row>
    <row r="37" spans="1:17">
      <c r="A37" t="s">
        <v>291</v>
      </c>
      <c r="B37" s="170">
        <v>0</v>
      </c>
      <c r="C37">
        <f t="shared" si="0"/>
        <v>0</v>
      </c>
      <c r="O37" t="s">
        <v>152</v>
      </c>
      <c r="P37">
        <v>0.2701201656063914</v>
      </c>
      <c r="Q37">
        <v>0.2701201656063914</v>
      </c>
    </row>
    <row r="38" spans="1:17">
      <c r="A38" t="s">
        <v>290</v>
      </c>
      <c r="B38" s="170">
        <v>0</v>
      </c>
      <c r="C38">
        <f t="shared" si="0"/>
        <v>0</v>
      </c>
      <c r="O38" t="s">
        <v>545</v>
      </c>
      <c r="P38">
        <v>0.21710592749672789</v>
      </c>
      <c r="Q38">
        <v>0.21710592749672789</v>
      </c>
    </row>
    <row r="39" spans="1:17">
      <c r="A39" t="s">
        <v>201</v>
      </c>
      <c r="B39" s="170">
        <v>0</v>
      </c>
      <c r="C39">
        <f t="shared" si="0"/>
        <v>0</v>
      </c>
      <c r="O39" t="s">
        <v>89</v>
      </c>
      <c r="P39">
        <v>0.17166515197415277</v>
      </c>
      <c r="Q39">
        <v>0.17166515197415277</v>
      </c>
    </row>
    <row r="40" spans="1:17">
      <c r="A40" t="s">
        <v>201</v>
      </c>
      <c r="B40" s="170">
        <v>0</v>
      </c>
      <c r="C40">
        <f t="shared" si="0"/>
        <v>0</v>
      </c>
      <c r="O40" s="6" t="s">
        <v>431</v>
      </c>
      <c r="P40">
        <v>0.1565182267999648</v>
      </c>
      <c r="Q40">
        <v>0.1565182267999648</v>
      </c>
    </row>
    <row r="41" spans="1:17">
      <c r="A41" s="6" t="s">
        <v>385</v>
      </c>
      <c r="B41">
        <v>2.1281429869736397</v>
      </c>
      <c r="C41">
        <f t="shared" si="0"/>
        <v>2.1281429869736397</v>
      </c>
      <c r="N41" s="6"/>
      <c r="O41" t="s">
        <v>426</v>
      </c>
      <c r="P41">
        <v>-0.11612642633545232</v>
      </c>
      <c r="Q41">
        <v>0.11612642633545232</v>
      </c>
    </row>
    <row r="42" spans="1:17">
      <c r="A42" s="6" t="s">
        <v>63</v>
      </c>
      <c r="B42" s="170">
        <v>12.700696758558012</v>
      </c>
      <c r="C42">
        <f t="shared" si="0"/>
        <v>12.700696758558012</v>
      </c>
      <c r="N42" s="6"/>
      <c r="O42" t="s">
        <v>466</v>
      </c>
      <c r="P42">
        <v>-0.11612642633545232</v>
      </c>
      <c r="Q42">
        <v>0.11612642633545232</v>
      </c>
    </row>
    <row r="43" spans="1:17">
      <c r="A43" s="6" t="s">
        <v>372</v>
      </c>
      <c r="B43">
        <v>0</v>
      </c>
      <c r="C43">
        <f t="shared" si="0"/>
        <v>0</v>
      </c>
      <c r="N43" s="6"/>
      <c r="O43" t="s">
        <v>476</v>
      </c>
      <c r="P43">
        <v>-0.11612642633545232</v>
      </c>
      <c r="Q43">
        <v>0.11612642633545232</v>
      </c>
    </row>
    <row r="44" spans="1:17">
      <c r="A44" s="6" t="s">
        <v>431</v>
      </c>
      <c r="B44">
        <v>0.1565182267999648</v>
      </c>
      <c r="C44">
        <f t="shared" si="0"/>
        <v>0.1565182267999648</v>
      </c>
      <c r="N44" s="6"/>
      <c r="O44" t="s">
        <v>164</v>
      </c>
      <c r="P44">
        <v>-8.5832575987065174E-2</v>
      </c>
      <c r="Q44">
        <v>8.5832575987065174E-2</v>
      </c>
    </row>
    <row r="45" spans="1:17">
      <c r="A45" s="6" t="s">
        <v>437</v>
      </c>
      <c r="B45">
        <v>-5.0489750580626575E-2</v>
      </c>
      <c r="C45">
        <f t="shared" si="0"/>
        <v>5.0489750580626575E-2</v>
      </c>
      <c r="N45" s="6"/>
      <c r="O45" s="6" t="s">
        <v>448</v>
      </c>
      <c r="P45">
        <v>5.5538725638700444E-2</v>
      </c>
      <c r="Q45">
        <v>5.5538725638700444E-2</v>
      </c>
    </row>
    <row r="46" spans="1:17">
      <c r="A46" s="6" t="s">
        <v>440</v>
      </c>
      <c r="B46">
        <v>5.0489750580637781E-2</v>
      </c>
      <c r="C46">
        <f t="shared" si="0"/>
        <v>5.0489750580637781E-2</v>
      </c>
      <c r="N46" s="6"/>
      <c r="O46" s="6" t="s">
        <v>451</v>
      </c>
      <c r="P46">
        <v>5.5538725638700444E-2</v>
      </c>
      <c r="Q46">
        <v>5.5538725638700444E-2</v>
      </c>
    </row>
    <row r="47" spans="1:17">
      <c r="A47" s="6" t="s">
        <v>448</v>
      </c>
      <c r="B47">
        <v>5.5538725638700444E-2</v>
      </c>
      <c r="C47">
        <f t="shared" si="0"/>
        <v>5.5538725638700444E-2</v>
      </c>
      <c r="N47" s="6"/>
      <c r="O47" s="6" t="s">
        <v>440</v>
      </c>
      <c r="P47">
        <v>5.0489750580637781E-2</v>
      </c>
      <c r="Q47">
        <v>5.0489750580637781E-2</v>
      </c>
    </row>
    <row r="48" spans="1:17">
      <c r="A48" s="6" t="s">
        <v>451</v>
      </c>
      <c r="B48">
        <v>5.5538725638700444E-2</v>
      </c>
      <c r="C48">
        <f t="shared" si="0"/>
        <v>5.5538725638700444E-2</v>
      </c>
      <c r="N48" s="6"/>
      <c r="O48" s="6" t="s">
        <v>437</v>
      </c>
      <c r="P48">
        <v>-5.0489750580626575E-2</v>
      </c>
      <c r="Q48">
        <v>5.0489750580626575E-2</v>
      </c>
    </row>
    <row r="49" spans="1:17">
      <c r="A49" s="6" t="s">
        <v>103</v>
      </c>
      <c r="B49" s="170">
        <v>0</v>
      </c>
      <c r="C49">
        <f t="shared" si="0"/>
        <v>0</v>
      </c>
      <c r="N49" s="6"/>
      <c r="O49" t="s">
        <v>454</v>
      </c>
      <c r="P49">
        <v>7.5734625870995916E-3</v>
      </c>
      <c r="Q49">
        <v>7.5734625870995916E-3</v>
      </c>
    </row>
    <row r="50" spans="1:17">
      <c r="A50" s="6" t="s">
        <v>104</v>
      </c>
      <c r="B50">
        <v>0</v>
      </c>
      <c r="C50">
        <f t="shared" si="0"/>
        <v>0</v>
      </c>
      <c r="N50" s="6"/>
      <c r="O50" t="s">
        <v>134</v>
      </c>
      <c r="P50">
        <v>5.0489750580626569E-3</v>
      </c>
      <c r="Q50">
        <v>5.0489750580626569E-3</v>
      </c>
    </row>
    <row r="51" spans="1:17">
      <c r="A51" s="6" t="s">
        <v>373</v>
      </c>
      <c r="B51" s="170">
        <v>0</v>
      </c>
      <c r="C51">
        <f t="shared" si="0"/>
        <v>0</v>
      </c>
      <c r="N51" s="6"/>
      <c r="O51" t="s">
        <v>424</v>
      </c>
      <c r="P51">
        <v>0</v>
      </c>
      <c r="Q51">
        <v>0</v>
      </c>
    </row>
    <row r="52" spans="1:17">
      <c r="A52" s="6" t="s">
        <v>107</v>
      </c>
      <c r="B52" s="170">
        <v>0</v>
      </c>
      <c r="C52">
        <f t="shared" si="0"/>
        <v>0</v>
      </c>
      <c r="N52" s="6"/>
      <c r="O52" t="s">
        <v>65</v>
      </c>
      <c r="P52">
        <v>0</v>
      </c>
      <c r="Q52">
        <v>0</v>
      </c>
    </row>
    <row r="53" spans="1:17">
      <c r="A53" s="6" t="s">
        <v>115</v>
      </c>
      <c r="B53" s="170">
        <v>0</v>
      </c>
      <c r="C53">
        <f t="shared" si="0"/>
        <v>0</v>
      </c>
      <c r="N53" s="6"/>
      <c r="O53" t="s">
        <v>101</v>
      </c>
      <c r="P53">
        <v>0</v>
      </c>
      <c r="Q53">
        <v>0</v>
      </c>
    </row>
    <row r="54" spans="1:17">
      <c r="A54" s="6" t="s">
        <v>366</v>
      </c>
      <c r="B54" s="170">
        <v>2.4083611026961678</v>
      </c>
      <c r="C54">
        <f t="shared" si="0"/>
        <v>2.4083611026961678</v>
      </c>
      <c r="N54" s="6"/>
      <c r="O54" t="s">
        <v>166</v>
      </c>
      <c r="P54">
        <v>0</v>
      </c>
      <c r="Q54">
        <v>0</v>
      </c>
    </row>
    <row r="55" spans="1:17">
      <c r="A55" s="6" t="s">
        <v>414</v>
      </c>
      <c r="B55" s="170">
        <v>1.9590023225285351</v>
      </c>
      <c r="C55">
        <f t="shared" si="0"/>
        <v>1.9590023225285351</v>
      </c>
      <c r="N55" s="6"/>
      <c r="O55" t="s">
        <v>291</v>
      </c>
      <c r="P55">
        <v>0</v>
      </c>
      <c r="Q55">
        <v>0</v>
      </c>
    </row>
    <row r="56" spans="1:17">
      <c r="A56" s="6" t="s">
        <v>416</v>
      </c>
      <c r="B56" s="170">
        <v>0.50994648086438443</v>
      </c>
      <c r="C56">
        <f t="shared" si="0"/>
        <v>0.50994648086438443</v>
      </c>
      <c r="N56" s="6"/>
      <c r="O56" t="s">
        <v>290</v>
      </c>
      <c r="P56">
        <v>0</v>
      </c>
      <c r="Q56">
        <v>0</v>
      </c>
    </row>
    <row r="57" spans="1:17">
      <c r="A57" t="s">
        <v>83</v>
      </c>
      <c r="B57" s="170">
        <v>0.88104614763204014</v>
      </c>
      <c r="C57">
        <f t="shared" si="0"/>
        <v>0.88104614763204014</v>
      </c>
      <c r="O57" t="s">
        <v>201</v>
      </c>
      <c r="P57">
        <v>0</v>
      </c>
      <c r="Q57">
        <v>0</v>
      </c>
    </row>
    <row r="58" spans="1:17">
      <c r="A58" t="s">
        <v>141</v>
      </c>
      <c r="B58" s="170">
        <v>-0.87347268504492948</v>
      </c>
      <c r="C58">
        <f t="shared" si="0"/>
        <v>0.87347268504492948</v>
      </c>
      <c r="O58" t="s">
        <v>201</v>
      </c>
      <c r="P58">
        <v>0</v>
      </c>
      <c r="Q58">
        <v>0</v>
      </c>
    </row>
    <row r="59" spans="1:17">
      <c r="A59" t="s">
        <v>545</v>
      </c>
      <c r="B59">
        <v>0.21710592749672789</v>
      </c>
      <c r="C59">
        <f t="shared" si="0"/>
        <v>0.21710592749672789</v>
      </c>
      <c r="O59" s="6" t="s">
        <v>372</v>
      </c>
      <c r="P59">
        <v>0</v>
      </c>
      <c r="Q59">
        <v>0</v>
      </c>
    </row>
    <row r="60" spans="1:17">
      <c r="A60" t="s">
        <v>554</v>
      </c>
      <c r="B60">
        <v>0.61597495708371142</v>
      </c>
      <c r="C60">
        <f t="shared" si="0"/>
        <v>0.61597495708371142</v>
      </c>
      <c r="O60" s="6" t="s">
        <v>103</v>
      </c>
      <c r="P60">
        <v>0</v>
      </c>
      <c r="Q60">
        <v>0</v>
      </c>
    </row>
    <row r="61" spans="1:17">
      <c r="A61" t="s">
        <v>454</v>
      </c>
      <c r="B61">
        <v>7.5734625870995916E-3</v>
      </c>
      <c r="C61">
        <f t="shared" si="0"/>
        <v>7.5734625870995916E-3</v>
      </c>
      <c r="O61" s="6" t="s">
        <v>104</v>
      </c>
      <c r="P61">
        <v>0</v>
      </c>
      <c r="Q61">
        <v>0</v>
      </c>
    </row>
    <row r="62" spans="1:17">
      <c r="A62" t="s">
        <v>465</v>
      </c>
      <c r="B62">
        <v>0</v>
      </c>
      <c r="C62">
        <f t="shared" si="0"/>
        <v>0</v>
      </c>
      <c r="O62" s="6" t="s">
        <v>373</v>
      </c>
      <c r="P62">
        <v>0</v>
      </c>
      <c r="Q62">
        <v>0</v>
      </c>
    </row>
    <row r="63" spans="1:17">
      <c r="A63" t="s">
        <v>466</v>
      </c>
      <c r="B63">
        <v>-0.11612642633545232</v>
      </c>
      <c r="C63">
        <f t="shared" si="0"/>
        <v>0.11612642633545232</v>
      </c>
      <c r="O63" s="6" t="s">
        <v>107</v>
      </c>
      <c r="P63">
        <v>0</v>
      </c>
      <c r="Q63">
        <v>0</v>
      </c>
    </row>
    <row r="64" spans="1:17">
      <c r="A64" t="s">
        <v>476</v>
      </c>
      <c r="B64">
        <v>-0.11612642633545232</v>
      </c>
      <c r="C64">
        <f t="shared" si="0"/>
        <v>0.11612642633545232</v>
      </c>
      <c r="O64" s="6" t="s">
        <v>115</v>
      </c>
      <c r="P64">
        <v>0</v>
      </c>
      <c r="Q64">
        <v>0</v>
      </c>
    </row>
    <row r="65" spans="1:17">
      <c r="A65" t="s">
        <v>490</v>
      </c>
      <c r="B65">
        <v>-2.8501464202766784</v>
      </c>
      <c r="C65">
        <f t="shared" si="0"/>
        <v>2.8501464202766784</v>
      </c>
      <c r="O65" t="s">
        <v>465</v>
      </c>
      <c r="P65">
        <v>0</v>
      </c>
      <c r="Q65">
        <v>0</v>
      </c>
    </row>
  </sheetData>
  <sortState ref="O1:Q65">
    <sortCondition descending="1" ref="Q1:Q65"/>
  </sortState>
  <conditionalFormatting sqref="B1:B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:G86"/>
  <sheetViews>
    <sheetView workbookViewId="0">
      <selection activeCell="G24" sqref="G24"/>
    </sheetView>
  </sheetViews>
  <sheetFormatPr defaultRowHeight="15.75"/>
  <cols>
    <col min="1" max="2" width="9" style="17"/>
    <col min="3" max="6" width="9" style="8"/>
  </cols>
  <sheetData>
    <row r="1" spans="1:7">
      <c r="A1" s="17" t="s">
        <v>533</v>
      </c>
      <c r="B1" s="17">
        <v>-39.423689198596115</v>
      </c>
    </row>
    <row r="2" spans="1:7">
      <c r="A2" s="17" t="s">
        <v>521</v>
      </c>
      <c r="B2" s="17">
        <f>Results!D43</f>
        <v>19.750640015571982</v>
      </c>
    </row>
    <row r="4" spans="1:7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536</v>
      </c>
      <c r="G4" s="8" t="s">
        <v>521</v>
      </c>
    </row>
    <row r="5" spans="1:7">
      <c r="A5" s="17" t="s">
        <v>534</v>
      </c>
      <c r="E5" s="8">
        <f>B1</f>
        <v>-39.423689198596115</v>
      </c>
      <c r="F5" s="8">
        <f>E5</f>
        <v>-39.423689198596115</v>
      </c>
      <c r="G5">
        <f>B2</f>
        <v>19.750640015571982</v>
      </c>
    </row>
    <row r="6" spans="1:7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>E6*-1</f>
        <v>-32.277626703489382</v>
      </c>
      <c r="G6">
        <f t="dataTable" ref="G6:G86" dt2D="0" dtr="0" r1="B1"/>
        <v>19.750640015571982</v>
      </c>
    </row>
    <row r="7" spans="1:7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0">D7+C7</f>
        <v>30.192840876784196</v>
      </c>
      <c r="F7" s="8">
        <f t="shared" ref="F7:F70" si="1">E7*-1</f>
        <v>-30.192840876784196</v>
      </c>
      <c r="G7">
        <v>19.750640015571982</v>
      </c>
    </row>
    <row r="8" spans="1:7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0"/>
        <v>29.12909742767804</v>
      </c>
      <c r="F8" s="8">
        <f t="shared" si="1"/>
        <v>-29.12909742767804</v>
      </c>
      <c r="G8">
        <v>19.750640015571982</v>
      </c>
    </row>
    <row r="9" spans="1:7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0"/>
        <v>30.304208143576332</v>
      </c>
      <c r="F9" s="8">
        <f t="shared" si="1"/>
        <v>-30.304208143576332</v>
      </c>
      <c r="G9">
        <v>19.750640015571982</v>
      </c>
    </row>
    <row r="10" spans="1:7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0"/>
        <v>30.69163748768792</v>
      </c>
      <c r="F10" s="8">
        <f t="shared" si="1"/>
        <v>-30.69163748768792</v>
      </c>
      <c r="G10">
        <v>19.750640015571982</v>
      </c>
    </row>
    <row r="11" spans="1:7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0"/>
        <v>32.531752537039409</v>
      </c>
      <c r="F11" s="8">
        <f t="shared" si="1"/>
        <v>-32.531752537039409</v>
      </c>
      <c r="G11">
        <v>19.750640015571982</v>
      </c>
    </row>
    <row r="12" spans="1:7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0"/>
        <v>32.13967976254645</v>
      </c>
      <c r="F12" s="8">
        <f t="shared" si="1"/>
        <v>-32.13967976254645</v>
      </c>
      <c r="G12">
        <v>19.750640015571982</v>
      </c>
    </row>
    <row r="13" spans="1:7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0"/>
        <v>37.276848038114196</v>
      </c>
      <c r="F13" s="8">
        <f t="shared" si="1"/>
        <v>-37.276848038114196</v>
      </c>
      <c r="G13">
        <v>19.750640015571982</v>
      </c>
    </row>
    <row r="14" spans="1:7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0"/>
        <v>37.293478459417578</v>
      </c>
      <c r="F14" s="8">
        <f t="shared" si="1"/>
        <v>-37.293478459417578</v>
      </c>
      <c r="G14">
        <v>19.750640015571982</v>
      </c>
    </row>
    <row r="15" spans="1:7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0"/>
        <v>37.862943039452318</v>
      </c>
      <c r="F15" s="8">
        <f t="shared" si="1"/>
        <v>-37.862943039452318</v>
      </c>
      <c r="G15">
        <v>19.750640015571982</v>
      </c>
    </row>
    <row r="16" spans="1:7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0"/>
        <v>36.372874928421524</v>
      </c>
      <c r="F16" s="8">
        <f t="shared" si="1"/>
        <v>-36.372874928421524</v>
      </c>
      <c r="G16">
        <v>19.750640015571982</v>
      </c>
    </row>
    <row r="17" spans="1:7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0"/>
        <v>39.034005724263601</v>
      </c>
      <c r="F17" s="8">
        <f t="shared" si="1"/>
        <v>-39.034005724263601</v>
      </c>
      <c r="G17">
        <v>19.750640015571982</v>
      </c>
    </row>
    <row r="18" spans="1:7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0"/>
        <v>38.854169173571215</v>
      </c>
      <c r="F18" s="8">
        <f t="shared" si="1"/>
        <v>-38.854169173571215</v>
      </c>
      <c r="G18">
        <v>19.750640015571982</v>
      </c>
    </row>
    <row r="19" spans="1:7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0"/>
        <v>39.299935853197418</v>
      </c>
      <c r="F19" s="8">
        <f t="shared" si="1"/>
        <v>-39.299935853197418</v>
      </c>
      <c r="G19">
        <v>19.750640015571982</v>
      </c>
    </row>
    <row r="20" spans="1:7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0"/>
        <v>40.150741868826231</v>
      </c>
      <c r="F20" s="8">
        <f t="shared" si="1"/>
        <v>-40.150741868826231</v>
      </c>
      <c r="G20">
        <v>19.750640015571982</v>
      </c>
    </row>
    <row r="21" spans="1:7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0"/>
        <v>43.013623519657529</v>
      </c>
      <c r="F21" s="8">
        <f t="shared" si="1"/>
        <v>-43.013623519657529</v>
      </c>
      <c r="G21">
        <v>19.750640015571982</v>
      </c>
    </row>
    <row r="22" spans="1:7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0"/>
        <v>43.000026823618704</v>
      </c>
      <c r="F22" s="8">
        <f t="shared" si="1"/>
        <v>-43.000026823618704</v>
      </c>
      <c r="G22">
        <v>19.750640015571982</v>
      </c>
    </row>
    <row r="23" spans="1:7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0"/>
        <v>44.40212202287421</v>
      </c>
      <c r="F23" s="8">
        <f t="shared" si="1"/>
        <v>-44.40212202287421</v>
      </c>
      <c r="G23">
        <v>19.750640015571982</v>
      </c>
    </row>
    <row r="24" spans="1:7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0"/>
        <v>44.916309276414083</v>
      </c>
      <c r="F24" s="8">
        <f t="shared" si="1"/>
        <v>-44.916309276414083</v>
      </c>
      <c r="G24">
        <v>19.750640015571982</v>
      </c>
    </row>
    <row r="25" spans="1:7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0"/>
        <v>45.316946408526263</v>
      </c>
      <c r="F25" s="8">
        <f t="shared" si="1"/>
        <v>-45.316946408526263</v>
      </c>
      <c r="G25">
        <v>19.750640015571982</v>
      </c>
    </row>
    <row r="26" spans="1:7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0"/>
        <v>47.406872272964549</v>
      </c>
      <c r="F26" s="8">
        <f t="shared" si="1"/>
        <v>-47.406872272964549</v>
      </c>
      <c r="G26">
        <v>19.750640015571982</v>
      </c>
    </row>
    <row r="27" spans="1:7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0"/>
        <v>46.332826306779765</v>
      </c>
      <c r="F27" s="8">
        <f t="shared" si="1"/>
        <v>-46.332826306779765</v>
      </c>
      <c r="G27">
        <v>19.750640015571982</v>
      </c>
    </row>
    <row r="28" spans="1:7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0"/>
        <v>43.426434086033019</v>
      </c>
      <c r="F28" s="8">
        <f t="shared" si="1"/>
        <v>-43.426434086033019</v>
      </c>
      <c r="G28">
        <v>19.750640015571982</v>
      </c>
    </row>
    <row r="29" spans="1:7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0"/>
        <v>45.842110581962004</v>
      </c>
      <c r="F29" s="8">
        <f t="shared" si="1"/>
        <v>-45.842110581962004</v>
      </c>
      <c r="G29">
        <v>19.750640015571982</v>
      </c>
    </row>
    <row r="30" spans="1:7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0"/>
        <v>46.06728055807956</v>
      </c>
      <c r="F30" s="8">
        <f t="shared" si="1"/>
        <v>-46.06728055807956</v>
      </c>
      <c r="G30">
        <v>19.750640015571982</v>
      </c>
    </row>
    <row r="31" spans="1:7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0"/>
        <v>46.551925281554539</v>
      </c>
      <c r="F31" s="8">
        <f t="shared" si="1"/>
        <v>-46.551925281554539</v>
      </c>
      <c r="G31">
        <v>19.750640015571982</v>
      </c>
    </row>
    <row r="32" spans="1:7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0"/>
        <v>47.593400557715967</v>
      </c>
      <c r="F32" s="8">
        <f t="shared" si="1"/>
        <v>-47.593400557715967</v>
      </c>
      <c r="G32">
        <v>19.750640015571982</v>
      </c>
    </row>
    <row r="33" spans="1:7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0"/>
        <v>47.178127137435439</v>
      </c>
      <c r="F33" s="8">
        <f t="shared" si="1"/>
        <v>-47.178127137435439</v>
      </c>
      <c r="G33">
        <v>19.750640015571982</v>
      </c>
    </row>
    <row r="34" spans="1:7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0"/>
        <v>46.896406436041303</v>
      </c>
      <c r="F34" s="8">
        <f t="shared" si="1"/>
        <v>-46.896406436041303</v>
      </c>
      <c r="G34">
        <v>19.750640015571982</v>
      </c>
    </row>
    <row r="35" spans="1:7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0"/>
        <v>48.427946185652281</v>
      </c>
      <c r="F35" s="8">
        <f t="shared" si="1"/>
        <v>-48.427946185652281</v>
      </c>
      <c r="G35">
        <v>19.750640015571982</v>
      </c>
    </row>
    <row r="36" spans="1:7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0"/>
        <v>48.248990732323435</v>
      </c>
      <c r="F36" s="8">
        <f t="shared" si="1"/>
        <v>-48.248990732323435</v>
      </c>
      <c r="G36">
        <v>19.750640015571982</v>
      </c>
    </row>
    <row r="37" spans="1:7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0"/>
        <v>47.595602907610044</v>
      </c>
      <c r="F37" s="8">
        <f t="shared" si="1"/>
        <v>-47.595602907610044</v>
      </c>
      <c r="G37">
        <v>19.750640015571982</v>
      </c>
    </row>
    <row r="38" spans="1:7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0"/>
        <v>46.32519034476519</v>
      </c>
      <c r="F38" s="8">
        <f t="shared" si="1"/>
        <v>-46.32519034476519</v>
      </c>
      <c r="G38">
        <v>19.750640015571982</v>
      </c>
    </row>
    <row r="39" spans="1:7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0"/>
        <v>43.680699151813201</v>
      </c>
      <c r="F39" s="8">
        <f t="shared" si="1"/>
        <v>-43.680699151813201</v>
      </c>
      <c r="G39">
        <v>19.750640015571982</v>
      </c>
    </row>
    <row r="40" spans="1:7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0"/>
        <v>43.001913833087038</v>
      </c>
      <c r="F40" s="8">
        <f t="shared" si="1"/>
        <v>-43.001913833087038</v>
      </c>
      <c r="G40">
        <v>19.750640015571982</v>
      </c>
    </row>
    <row r="41" spans="1:7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0"/>
        <v>42.190700786357851</v>
      </c>
      <c r="F41" s="8">
        <f t="shared" si="1"/>
        <v>-42.190700786357851</v>
      </c>
      <c r="G41">
        <v>19.750640015571982</v>
      </c>
    </row>
    <row r="42" spans="1:7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0"/>
        <v>39.245253593275123</v>
      </c>
      <c r="F42" s="8">
        <f t="shared" si="1"/>
        <v>-39.245253593275123</v>
      </c>
      <c r="G42">
        <v>19.750640015571982</v>
      </c>
    </row>
    <row r="43" spans="1:7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0"/>
        <v>37.541094331780613</v>
      </c>
      <c r="F43" s="8">
        <f t="shared" si="1"/>
        <v>-37.541094331780613</v>
      </c>
      <c r="G43">
        <v>19.750640015571982</v>
      </c>
    </row>
    <row r="44" spans="1:7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0"/>
        <v>37.589967032184397</v>
      </c>
      <c r="F44" s="8">
        <f t="shared" si="1"/>
        <v>-37.589967032184397</v>
      </c>
      <c r="G44">
        <v>19.750640015571982</v>
      </c>
    </row>
    <row r="45" spans="1:7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0"/>
        <v>31.762186307204992</v>
      </c>
      <c r="F45" s="8">
        <f t="shared" si="1"/>
        <v>-31.762186307204992</v>
      </c>
      <c r="G45">
        <v>19.750640015571982</v>
      </c>
    </row>
    <row r="46" spans="1:7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0"/>
        <v>32.008079380125118</v>
      </c>
      <c r="F46" s="8">
        <f t="shared" si="1"/>
        <v>-32.008079380125118</v>
      </c>
      <c r="G46">
        <v>19.750640015571982</v>
      </c>
    </row>
    <row r="47" spans="1:7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0"/>
        <v>32.072756456227367</v>
      </c>
      <c r="F47" s="8">
        <f t="shared" si="1"/>
        <v>-32.072756456227367</v>
      </c>
      <c r="G47">
        <v>19.750640015571982</v>
      </c>
    </row>
    <row r="48" spans="1:7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0"/>
        <v>35.272930394614335</v>
      </c>
      <c r="F48" s="8">
        <f t="shared" si="1"/>
        <v>-35.272930394614335</v>
      </c>
      <c r="G48">
        <v>19.750640015571982</v>
      </c>
    </row>
    <row r="49" spans="1:7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0"/>
        <v>34.708378408645657</v>
      </c>
      <c r="F49" s="8">
        <f t="shared" si="1"/>
        <v>-34.708378408645657</v>
      </c>
      <c r="G49">
        <v>19.750640015571982</v>
      </c>
    </row>
    <row r="50" spans="1:7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0"/>
        <v>33.655611692265296</v>
      </c>
      <c r="F50" s="8">
        <f t="shared" si="1"/>
        <v>-33.655611692265296</v>
      </c>
      <c r="G50">
        <v>19.750640015571982</v>
      </c>
    </row>
    <row r="51" spans="1:7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0"/>
        <v>38.863959726085248</v>
      </c>
      <c r="F51" s="8">
        <f t="shared" si="1"/>
        <v>-38.863959726085248</v>
      </c>
      <c r="G51">
        <v>19.750640015571982</v>
      </c>
    </row>
    <row r="52" spans="1:7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0"/>
        <v>40.014544331520931</v>
      </c>
      <c r="F52" s="8">
        <f t="shared" si="1"/>
        <v>-40.014544331520931</v>
      </c>
      <c r="G52">
        <v>19.750640015571982</v>
      </c>
    </row>
    <row r="53" spans="1:7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0"/>
        <v>37.353843089190562</v>
      </c>
      <c r="F53" s="8">
        <f t="shared" si="1"/>
        <v>-37.353843089190562</v>
      </c>
      <c r="G53">
        <v>19.750640015571982</v>
      </c>
    </row>
    <row r="54" spans="1:7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0"/>
        <v>36.814568991122741</v>
      </c>
      <c r="F54" s="8">
        <f t="shared" si="1"/>
        <v>-36.814568991122741</v>
      </c>
      <c r="G54">
        <v>19.750640015571982</v>
      </c>
    </row>
    <row r="55" spans="1:7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0"/>
        <v>40.565663110869735</v>
      </c>
      <c r="F55" s="8">
        <f t="shared" si="1"/>
        <v>-40.565663110869735</v>
      </c>
      <c r="G55">
        <v>19.750640015571982</v>
      </c>
    </row>
    <row r="56" spans="1:7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0"/>
        <v>40.907816716915832</v>
      </c>
      <c r="F56" s="8">
        <f t="shared" si="1"/>
        <v>-40.907816716915832</v>
      </c>
      <c r="G56">
        <v>19.750640015571982</v>
      </c>
    </row>
    <row r="57" spans="1:7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0"/>
        <v>38.861699431398506</v>
      </c>
      <c r="F57" s="8">
        <f t="shared" si="1"/>
        <v>-38.861699431398506</v>
      </c>
      <c r="G57">
        <v>19.750640015571982</v>
      </c>
    </row>
    <row r="58" spans="1:7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0"/>
        <v>39.866410281221548</v>
      </c>
      <c r="F58" s="8">
        <f t="shared" si="1"/>
        <v>-39.866410281221548</v>
      </c>
      <c r="G58">
        <v>19.750640015571982</v>
      </c>
    </row>
    <row r="59" spans="1:7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0"/>
        <v>42.43271965918656</v>
      </c>
      <c r="F59" s="8">
        <f t="shared" si="1"/>
        <v>-42.43271965918656</v>
      </c>
      <c r="G59">
        <v>19.750640015571982</v>
      </c>
    </row>
    <row r="60" spans="1:7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0"/>
        <v>41.852476645216569</v>
      </c>
      <c r="F60" s="8">
        <f t="shared" si="1"/>
        <v>-41.852476645216569</v>
      </c>
      <c r="G60">
        <v>19.750640015571982</v>
      </c>
    </row>
    <row r="61" spans="1:7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0"/>
        <v>42.535926277505041</v>
      </c>
      <c r="F61" s="8">
        <f t="shared" si="1"/>
        <v>-42.535926277505041</v>
      </c>
      <c r="G61">
        <v>19.750640015571982</v>
      </c>
    </row>
    <row r="62" spans="1:7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0"/>
        <v>47.016816268955168</v>
      </c>
      <c r="F62" s="8">
        <f t="shared" si="1"/>
        <v>-47.016816268955168</v>
      </c>
      <c r="G62">
        <v>19.750640015571982</v>
      </c>
    </row>
    <row r="63" spans="1:7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0"/>
        <v>52.738005544109939</v>
      </c>
      <c r="F63" s="8">
        <f t="shared" si="1"/>
        <v>-52.738005544109939</v>
      </c>
      <c r="G63">
        <v>19.750640015571982</v>
      </c>
    </row>
    <row r="64" spans="1:7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0"/>
        <v>54.964996163688731</v>
      </c>
      <c r="F64" s="8">
        <f t="shared" si="1"/>
        <v>-54.964996163688731</v>
      </c>
      <c r="G64">
        <v>19.750640015571982</v>
      </c>
    </row>
    <row r="65" spans="1:7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0"/>
        <v>55.233034535470892</v>
      </c>
      <c r="F65" s="8">
        <f t="shared" si="1"/>
        <v>-55.233034535470892</v>
      </c>
      <c r="G65">
        <v>19.750640015571982</v>
      </c>
    </row>
    <row r="66" spans="1:7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0"/>
        <v>52.494831735872381</v>
      </c>
      <c r="F66" s="8">
        <f t="shared" si="1"/>
        <v>-52.494831735872381</v>
      </c>
      <c r="G66">
        <v>19.750640015571982</v>
      </c>
    </row>
    <row r="67" spans="1:7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0"/>
        <v>56.961547430479889</v>
      </c>
      <c r="F67" s="8">
        <f t="shared" si="1"/>
        <v>-56.961547430479889</v>
      </c>
      <c r="G67">
        <v>19.750640015571982</v>
      </c>
    </row>
    <row r="68" spans="1:7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0"/>
        <v>53.856261994383132</v>
      </c>
      <c r="F68" s="8">
        <f t="shared" si="1"/>
        <v>-53.856261994383132</v>
      </c>
      <c r="G68">
        <v>19.750640015571982</v>
      </c>
    </row>
    <row r="69" spans="1:7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0"/>
        <v>55.561224435942137</v>
      </c>
      <c r="F69" s="8">
        <f t="shared" si="1"/>
        <v>-55.561224435942137</v>
      </c>
      <c r="G69">
        <v>19.750640015571982</v>
      </c>
    </row>
    <row r="70" spans="1:7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0"/>
        <v>52.252236369294792</v>
      </c>
      <c r="F70" s="8">
        <f t="shared" si="1"/>
        <v>-52.252236369294792</v>
      </c>
      <c r="G70">
        <v>19.750640015571982</v>
      </c>
    </row>
    <row r="71" spans="1:7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2">D71+C71</f>
        <v>56.809630513636463</v>
      </c>
      <c r="F71" s="8">
        <f t="shared" ref="F71:F86" si="3">E71*-1</f>
        <v>-56.809630513636463</v>
      </c>
      <c r="G71">
        <v>19.750640015571982</v>
      </c>
    </row>
    <row r="72" spans="1:7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2"/>
        <v>58.424798546374305</v>
      </c>
      <c r="F72" s="8">
        <f t="shared" si="3"/>
        <v>-58.424798546374305</v>
      </c>
      <c r="G72">
        <v>19.750640015571982</v>
      </c>
    </row>
    <row r="73" spans="1:7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2"/>
        <v>54.929394629727888</v>
      </c>
      <c r="F73" s="8">
        <f t="shared" si="3"/>
        <v>-54.929394629727888</v>
      </c>
      <c r="G73">
        <v>19.750640015571982</v>
      </c>
    </row>
    <row r="74" spans="1:7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2"/>
        <v>59.024296909033858</v>
      </c>
      <c r="F74" s="8">
        <f t="shared" si="3"/>
        <v>-59.024296909033858</v>
      </c>
      <c r="G74">
        <v>19.750640015571982</v>
      </c>
    </row>
    <row r="75" spans="1:7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2"/>
        <v>58.568334064603292</v>
      </c>
      <c r="F75" s="8">
        <f t="shared" si="3"/>
        <v>-58.568334064603292</v>
      </c>
      <c r="G75">
        <v>19.750640015571982</v>
      </c>
    </row>
    <row r="76" spans="1:7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2"/>
        <v>55.996157847303003</v>
      </c>
      <c r="F76" s="8">
        <f t="shared" si="3"/>
        <v>-55.996157847303003</v>
      </c>
      <c r="G76">
        <v>19.750640015571982</v>
      </c>
    </row>
    <row r="77" spans="1:7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2"/>
        <v>56.996799066473272</v>
      </c>
      <c r="F77" s="8">
        <f t="shared" si="3"/>
        <v>-56.996799066473272</v>
      </c>
      <c r="G77">
        <v>19.750640015571982</v>
      </c>
    </row>
    <row r="78" spans="1:7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2"/>
        <v>54.56737833492933</v>
      </c>
      <c r="F78" s="8">
        <f t="shared" si="3"/>
        <v>-54.56737833492933</v>
      </c>
      <c r="G78">
        <v>19.750640015571982</v>
      </c>
    </row>
    <row r="79" spans="1:7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2"/>
        <v>52.181582908774672</v>
      </c>
      <c r="F79" s="8">
        <f t="shared" si="3"/>
        <v>-52.181582908774672</v>
      </c>
      <c r="G79">
        <v>19.750640015571982</v>
      </c>
    </row>
    <row r="80" spans="1:7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2"/>
        <v>48.891767330105125</v>
      </c>
      <c r="F80" s="8">
        <f t="shared" si="3"/>
        <v>-48.891767330105125</v>
      </c>
      <c r="G80">
        <v>19.750640015571982</v>
      </c>
    </row>
    <row r="81" spans="1:7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2"/>
        <v>47.812409809399789</v>
      </c>
      <c r="F81" s="8">
        <f t="shared" si="3"/>
        <v>-47.812409809399789</v>
      </c>
      <c r="G81">
        <v>19.750640015571982</v>
      </c>
    </row>
    <row r="82" spans="1:7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2"/>
        <v>49.892677374416017</v>
      </c>
      <c r="F82" s="8">
        <f t="shared" si="3"/>
        <v>-49.892677374416017</v>
      </c>
      <c r="G82">
        <v>19.750640015571982</v>
      </c>
    </row>
    <row r="83" spans="1:7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2"/>
        <v>48.014553896750222</v>
      </c>
      <c r="F83" s="8">
        <f t="shared" si="3"/>
        <v>-48.014553896750222</v>
      </c>
      <c r="G83">
        <v>19.750640015571982</v>
      </c>
    </row>
    <row r="84" spans="1:7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2"/>
        <v>42.806243515314122</v>
      </c>
      <c r="F84" s="8">
        <f t="shared" si="3"/>
        <v>-42.806243515314122</v>
      </c>
      <c r="G84">
        <v>19.750640015571982</v>
      </c>
    </row>
    <row r="85" spans="1:7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2"/>
        <v>44.002461805468336</v>
      </c>
      <c r="F85" s="8">
        <f t="shared" si="3"/>
        <v>-44.002461805468336</v>
      </c>
      <c r="G85">
        <v>19.750640015571982</v>
      </c>
    </row>
    <row r="86" spans="1:7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2"/>
        <v>42.553317400219882</v>
      </c>
      <c r="F86" s="8">
        <f t="shared" si="3"/>
        <v>-42.553317400219882</v>
      </c>
      <c r="G86">
        <v>19.750640015571982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/>
  </sheetPr>
  <dimension ref="A1:H86"/>
  <sheetViews>
    <sheetView topLeftCell="A3" zoomScale="115" zoomScaleNormal="115" workbookViewId="0">
      <selection activeCell="J29" sqref="J29"/>
    </sheetView>
  </sheetViews>
  <sheetFormatPr defaultRowHeight="15.75"/>
  <cols>
    <col min="1" max="2" width="9" style="17"/>
    <col min="3" max="6" width="9" style="8"/>
    <col min="7" max="7" width="11.875" bestFit="1" customWidth="1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 s="8">
        <f>B2</f>
        <v>3.9611760427190887</v>
      </c>
      <c r="H5" s="8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 t="shared" ref="F6:F69" si="0">E6*-1</f>
        <v>-32.277626703489382</v>
      </c>
      <c r="G6">
        <f t="dataTable" ref="G6:G86" dt2D="0" dtr="0" r1="B1"/>
        <v>3.9611760427190887</v>
      </c>
      <c r="H6">
        <v>11.107238869257756</v>
      </c>
    </row>
    <row r="7" spans="1:8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1">D7+C7</f>
        <v>30.192840876784196</v>
      </c>
      <c r="F7" s="8">
        <f t="shared" si="0"/>
        <v>-30.192840876784196</v>
      </c>
      <c r="G7">
        <v>3.9611760427190887</v>
      </c>
      <c r="H7">
        <v>13.192024695962942</v>
      </c>
    </row>
    <row r="8" spans="1:8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1"/>
        <v>29.12909742767804</v>
      </c>
      <c r="F8" s="8">
        <f t="shared" si="0"/>
        <v>-29.12909742767804</v>
      </c>
      <c r="G8">
        <v>3.9611760427190887</v>
      </c>
      <c r="H8">
        <v>14.255768145069098</v>
      </c>
    </row>
    <row r="9" spans="1:8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1"/>
        <v>30.304208143576332</v>
      </c>
      <c r="F9" s="8">
        <f t="shared" si="0"/>
        <v>-30.304208143576332</v>
      </c>
      <c r="G9">
        <v>3.9611760427190887</v>
      </c>
      <c r="H9">
        <v>13.080657429170806</v>
      </c>
    </row>
    <row r="10" spans="1:8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1"/>
        <v>30.69163748768792</v>
      </c>
      <c r="F10" s="8">
        <f t="shared" si="0"/>
        <v>-30.69163748768792</v>
      </c>
      <c r="G10">
        <v>3.9611760427190887</v>
      </c>
      <c r="H10">
        <v>12.693228085059218</v>
      </c>
    </row>
    <row r="11" spans="1:8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1"/>
        <v>32.531752537039409</v>
      </c>
      <c r="F11" s="8">
        <f t="shared" si="0"/>
        <v>-32.531752537039409</v>
      </c>
      <c r="G11">
        <v>3.9611760427190887</v>
      </c>
      <c r="H11">
        <v>10.853113035707729</v>
      </c>
    </row>
    <row r="12" spans="1:8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1"/>
        <v>32.13967976254645</v>
      </c>
      <c r="F12" s="8">
        <f t="shared" si="0"/>
        <v>-32.13967976254645</v>
      </c>
      <c r="G12">
        <v>3.9611760427190887</v>
      </c>
      <c r="H12">
        <v>11.245185810200688</v>
      </c>
    </row>
    <row r="13" spans="1:8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1"/>
        <v>37.276848038114196</v>
      </c>
      <c r="F13" s="8">
        <f t="shared" si="0"/>
        <v>-37.276848038114196</v>
      </c>
      <c r="G13">
        <v>3.9611760427190887</v>
      </c>
      <c r="H13">
        <v>6.1080175346329426</v>
      </c>
    </row>
    <row r="14" spans="1:8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1"/>
        <v>37.293478459417578</v>
      </c>
      <c r="F14" s="8">
        <f t="shared" si="0"/>
        <v>-37.293478459417578</v>
      </c>
      <c r="G14">
        <v>3.9611760427190887</v>
      </c>
      <c r="H14">
        <v>6.0913871133295601</v>
      </c>
    </row>
    <row r="15" spans="1:8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1"/>
        <v>37.862943039452318</v>
      </c>
      <c r="F15" s="8">
        <f t="shared" si="0"/>
        <v>-37.862943039452318</v>
      </c>
      <c r="G15">
        <v>3.9611760427190887</v>
      </c>
      <c r="H15">
        <v>5.5219225332948199</v>
      </c>
    </row>
    <row r="16" spans="1:8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1"/>
        <v>36.372874928421524</v>
      </c>
      <c r="F16" s="8">
        <f t="shared" si="0"/>
        <v>-36.372874928421524</v>
      </c>
      <c r="G16">
        <v>3.9611760427190887</v>
      </c>
      <c r="H16">
        <v>7.0119906443256141</v>
      </c>
    </row>
    <row r="17" spans="1:8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1"/>
        <v>39.034005724263601</v>
      </c>
      <c r="F17" s="8">
        <f t="shared" si="0"/>
        <v>-39.034005724263601</v>
      </c>
      <c r="G17">
        <v>3.9611760427190887</v>
      </c>
      <c r="H17">
        <v>4.3508598484835375</v>
      </c>
    </row>
    <row r="18" spans="1:8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1"/>
        <v>38.854169173571215</v>
      </c>
      <c r="F18" s="8">
        <f t="shared" si="0"/>
        <v>-38.854169173571215</v>
      </c>
      <c r="G18">
        <v>3.9611760427190887</v>
      </c>
      <c r="H18">
        <v>4.5306963991759233</v>
      </c>
    </row>
    <row r="19" spans="1:8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1"/>
        <v>39.299935853197418</v>
      </c>
      <c r="F19" s="8">
        <f t="shared" si="0"/>
        <v>-39.299935853197418</v>
      </c>
      <c r="G19">
        <v>3.9611760427190887</v>
      </c>
      <c r="H19">
        <v>4.0849297195497201</v>
      </c>
    </row>
    <row r="20" spans="1:8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1"/>
        <v>40.150741868826231</v>
      </c>
      <c r="F20" s="8">
        <f t="shared" si="0"/>
        <v>-40.150741868826231</v>
      </c>
      <c r="G20">
        <v>3.9611760427190887</v>
      </c>
      <c r="H20">
        <v>3.2341237039209076</v>
      </c>
    </row>
    <row r="21" spans="1:8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1"/>
        <v>43.013623519657529</v>
      </c>
      <c r="F21" s="8">
        <f t="shared" si="0"/>
        <v>-43.013623519657529</v>
      </c>
      <c r="G21">
        <v>3.9611760427190887</v>
      </c>
      <c r="H21">
        <v>0.37124205308960967</v>
      </c>
    </row>
    <row r="22" spans="1:8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1"/>
        <v>43.000026823618704</v>
      </c>
      <c r="F22" s="8">
        <f t="shared" si="0"/>
        <v>-43.000026823618704</v>
      </c>
      <c r="G22">
        <v>3.9611760427190887</v>
      </c>
      <c r="H22">
        <v>0.38483874912843419</v>
      </c>
    </row>
    <row r="23" spans="1:8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1"/>
        <v>44.40212202287421</v>
      </c>
      <c r="F23" s="8">
        <f t="shared" si="0"/>
        <v>-44.40212202287421</v>
      </c>
      <c r="G23">
        <v>3.9611760427190887</v>
      </c>
      <c r="H23">
        <v>-1.0172564501270713</v>
      </c>
    </row>
    <row r="24" spans="1:8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1"/>
        <v>44.916309276414083</v>
      </c>
      <c r="F24" s="8">
        <f t="shared" si="0"/>
        <v>-44.916309276414083</v>
      </c>
      <c r="G24">
        <v>3.9611760427190887</v>
      </c>
      <c r="H24">
        <v>-1.5314437036669446</v>
      </c>
    </row>
    <row r="25" spans="1:8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1"/>
        <v>45.316946408526263</v>
      </c>
      <c r="F25" s="8">
        <f t="shared" si="0"/>
        <v>-45.316946408526263</v>
      </c>
      <c r="G25">
        <v>3.9611760427190887</v>
      </c>
      <c r="H25">
        <v>-1.932080835779125</v>
      </c>
    </row>
    <row r="26" spans="1:8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1"/>
        <v>47.406872272964549</v>
      </c>
      <c r="F26" s="8">
        <f t="shared" si="0"/>
        <v>-47.406872272964549</v>
      </c>
      <c r="G26">
        <v>3.9611760427190887</v>
      </c>
      <c r="H26">
        <v>-4.0220067002174105</v>
      </c>
    </row>
    <row r="27" spans="1:8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1"/>
        <v>46.332826306779765</v>
      </c>
      <c r="F27" s="8">
        <f t="shared" si="0"/>
        <v>-46.332826306779765</v>
      </c>
      <c r="G27">
        <v>3.9611760427190887</v>
      </c>
      <c r="H27">
        <v>-2.9479607340326268</v>
      </c>
    </row>
    <row r="28" spans="1:8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1"/>
        <v>43.426434086033019</v>
      </c>
      <c r="F28" s="8">
        <f t="shared" si="0"/>
        <v>-43.426434086033019</v>
      </c>
      <c r="G28">
        <v>3.9611760427190887</v>
      </c>
      <c r="H28">
        <v>-4.1568513285881181E-2</v>
      </c>
    </row>
    <row r="29" spans="1:8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1"/>
        <v>45.842110581962004</v>
      </c>
      <c r="F29" s="8">
        <f t="shared" si="0"/>
        <v>-45.842110581962004</v>
      </c>
      <c r="G29">
        <v>3.9611760427190887</v>
      </c>
      <c r="H29">
        <v>-2.4572450092148657</v>
      </c>
    </row>
    <row r="30" spans="1:8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1"/>
        <v>46.06728055807956</v>
      </c>
      <c r="F30" s="8">
        <f t="shared" si="0"/>
        <v>-46.06728055807956</v>
      </c>
      <c r="G30">
        <v>3.9611760427190887</v>
      </c>
      <c r="H30">
        <v>-2.6824149853324215</v>
      </c>
    </row>
    <row r="31" spans="1:8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1"/>
        <v>46.551925281554539</v>
      </c>
      <c r="F31" s="8">
        <f t="shared" si="0"/>
        <v>-46.551925281554539</v>
      </c>
      <c r="G31">
        <v>3.9611760427190887</v>
      </c>
      <c r="H31">
        <v>-3.1670597088074004</v>
      </c>
    </row>
    <row r="32" spans="1:8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1"/>
        <v>47.593400557715967</v>
      </c>
      <c r="F32" s="8">
        <f t="shared" si="0"/>
        <v>-47.593400557715967</v>
      </c>
      <c r="G32">
        <v>3.9611760427190887</v>
      </c>
      <c r="H32">
        <v>-4.2085349849688285</v>
      </c>
    </row>
    <row r="33" spans="1:8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1"/>
        <v>47.178127137435439</v>
      </c>
      <c r="F33" s="8">
        <f t="shared" si="0"/>
        <v>-47.178127137435439</v>
      </c>
      <c r="G33">
        <v>3.9611760427190887</v>
      </c>
      <c r="H33">
        <v>-3.7932615646883008</v>
      </c>
    </row>
    <row r="34" spans="1:8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1"/>
        <v>46.896406436041303</v>
      </c>
      <c r="F34" s="8">
        <f t="shared" si="0"/>
        <v>-46.896406436041303</v>
      </c>
      <c r="G34">
        <v>3.9611760427190887</v>
      </c>
      <c r="H34">
        <v>-3.5115408632941651</v>
      </c>
    </row>
    <row r="35" spans="1:8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1"/>
        <v>48.427946185652281</v>
      </c>
      <c r="F35" s="8">
        <f t="shared" si="0"/>
        <v>-48.427946185652281</v>
      </c>
      <c r="G35">
        <v>3.9611760427190887</v>
      </c>
      <c r="H35">
        <v>-5.0430806129051433</v>
      </c>
    </row>
    <row r="36" spans="1:8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1"/>
        <v>48.248990732323435</v>
      </c>
      <c r="F36" s="8">
        <f t="shared" si="0"/>
        <v>-48.248990732323435</v>
      </c>
      <c r="G36">
        <v>3.9611760427190887</v>
      </c>
      <c r="H36">
        <v>-4.8641251595762967</v>
      </c>
    </row>
    <row r="37" spans="1:8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1"/>
        <v>47.595602907610044</v>
      </c>
      <c r="F37" s="8">
        <f t="shared" si="0"/>
        <v>-47.595602907610044</v>
      </c>
      <c r="G37">
        <v>3.9611760427190887</v>
      </c>
      <c r="H37">
        <v>-4.2107373348629054</v>
      </c>
    </row>
    <row r="38" spans="1:8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1"/>
        <v>46.32519034476519</v>
      </c>
      <c r="F38" s="8">
        <f t="shared" si="0"/>
        <v>-46.32519034476519</v>
      </c>
      <c r="G38">
        <v>3.9611760427190887</v>
      </c>
      <c r="H38">
        <v>-2.9403247720180516</v>
      </c>
    </row>
    <row r="39" spans="1:8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1"/>
        <v>43.680699151813201</v>
      </c>
      <c r="F39" s="8">
        <f t="shared" si="0"/>
        <v>-43.680699151813201</v>
      </c>
      <c r="G39">
        <v>3.9611760427190887</v>
      </c>
      <c r="H39">
        <v>-0.29583357906606267</v>
      </c>
    </row>
    <row r="40" spans="1:8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1"/>
        <v>43.001913833087038</v>
      </c>
      <c r="F40" s="8">
        <f t="shared" si="0"/>
        <v>-43.001913833087038</v>
      </c>
      <c r="G40">
        <v>3.9611760427190887</v>
      </c>
      <c r="H40">
        <v>0.38295173966010054</v>
      </c>
    </row>
    <row r="41" spans="1:8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1"/>
        <v>42.190700786357851</v>
      </c>
      <c r="F41" s="8">
        <f t="shared" si="0"/>
        <v>-42.190700786357851</v>
      </c>
      <c r="G41">
        <v>3.9611760427190887</v>
      </c>
      <c r="H41">
        <v>1.1941647863892868</v>
      </c>
    </row>
    <row r="42" spans="1:8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1"/>
        <v>39.245253593275123</v>
      </c>
      <c r="F42" s="8">
        <f t="shared" si="0"/>
        <v>-39.245253593275123</v>
      </c>
      <c r="G42">
        <v>3.9611760427190887</v>
      </c>
      <c r="H42">
        <v>4.139611979472015</v>
      </c>
    </row>
    <row r="43" spans="1:8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1"/>
        <v>37.541094331780613</v>
      </c>
      <c r="F43" s="8">
        <f t="shared" si="0"/>
        <v>-37.541094331780613</v>
      </c>
      <c r="G43">
        <v>3.9611760427190887</v>
      </c>
      <c r="H43">
        <v>5.8437712409665252</v>
      </c>
    </row>
    <row r="44" spans="1:8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1"/>
        <v>37.589967032184397</v>
      </c>
      <c r="F44" s="8">
        <f t="shared" si="0"/>
        <v>-37.589967032184397</v>
      </c>
      <c r="G44">
        <v>3.9611760427190887</v>
      </c>
      <c r="H44">
        <v>5.7948985405627411</v>
      </c>
    </row>
    <row r="45" spans="1:8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1"/>
        <v>31.762186307204992</v>
      </c>
      <c r="F45" s="8">
        <f t="shared" si="0"/>
        <v>-31.762186307204992</v>
      </c>
      <c r="G45">
        <v>3.9611760427190887</v>
      </c>
      <c r="H45">
        <v>11.622679265542146</v>
      </c>
    </row>
    <row r="46" spans="1:8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1"/>
        <v>32.008079380125118</v>
      </c>
      <c r="F46" s="8">
        <f t="shared" si="0"/>
        <v>-32.008079380125118</v>
      </c>
      <c r="G46">
        <v>3.9611760427190887</v>
      </c>
      <c r="H46">
        <v>11.376786192622021</v>
      </c>
    </row>
    <row r="47" spans="1:8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1"/>
        <v>32.072756456227367</v>
      </c>
      <c r="F47" s="8">
        <f t="shared" si="0"/>
        <v>-32.072756456227367</v>
      </c>
      <c r="G47">
        <v>3.9611760427190887</v>
      </c>
      <c r="H47">
        <v>11.312109116519771</v>
      </c>
    </row>
    <row r="48" spans="1:8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1"/>
        <v>35.272930394614335</v>
      </c>
      <c r="F48" s="8">
        <f t="shared" si="0"/>
        <v>-35.272930394614335</v>
      </c>
      <c r="G48">
        <v>3.9611760427190887</v>
      </c>
      <c r="H48">
        <v>8.1119351781328035</v>
      </c>
    </row>
    <row r="49" spans="1:8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1"/>
        <v>34.708378408645657</v>
      </c>
      <c r="F49" s="8">
        <f t="shared" si="0"/>
        <v>-34.708378408645657</v>
      </c>
      <c r="G49">
        <v>3.9611760427190887</v>
      </c>
      <c r="H49">
        <v>8.6764871641014807</v>
      </c>
    </row>
    <row r="50" spans="1:8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1"/>
        <v>33.655611692265296</v>
      </c>
      <c r="F50" s="8">
        <f t="shared" si="0"/>
        <v>-33.655611692265296</v>
      </c>
      <c r="G50">
        <v>3.9611760427190887</v>
      </c>
      <c r="H50">
        <v>9.729253880481842</v>
      </c>
    </row>
    <row r="51" spans="1:8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1"/>
        <v>38.863959726085248</v>
      </c>
      <c r="F51" s="8">
        <f t="shared" si="0"/>
        <v>-38.863959726085248</v>
      </c>
      <c r="G51">
        <v>3.9611760427190887</v>
      </c>
      <c r="H51">
        <v>4.5209058466618899</v>
      </c>
    </row>
    <row r="52" spans="1:8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1"/>
        <v>40.014544331520931</v>
      </c>
      <c r="F52" s="8">
        <f t="shared" si="0"/>
        <v>-40.014544331520931</v>
      </c>
      <c r="G52">
        <v>3.9611760427190887</v>
      </c>
      <c r="H52">
        <v>3.3703212412262076</v>
      </c>
    </row>
    <row r="53" spans="1:8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1"/>
        <v>37.353843089190562</v>
      </c>
      <c r="F53" s="8">
        <f t="shared" si="0"/>
        <v>-37.353843089190562</v>
      </c>
      <c r="G53">
        <v>3.9611760427190887</v>
      </c>
      <c r="H53">
        <v>6.0310224835565762</v>
      </c>
    </row>
    <row r="54" spans="1:8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1"/>
        <v>36.814568991122741</v>
      </c>
      <c r="F54" s="8">
        <f t="shared" si="0"/>
        <v>-36.814568991122741</v>
      </c>
      <c r="G54">
        <v>3.9611760427190887</v>
      </c>
      <c r="H54">
        <v>6.5702965816243974</v>
      </c>
    </row>
    <row r="55" spans="1:8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1"/>
        <v>40.565663110869735</v>
      </c>
      <c r="F55" s="8">
        <f t="shared" si="0"/>
        <v>-40.565663110869735</v>
      </c>
      <c r="G55">
        <v>3.9611760427190887</v>
      </c>
      <c r="H55">
        <v>2.8192024618774028</v>
      </c>
    </row>
    <row r="56" spans="1:8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1"/>
        <v>40.907816716915832</v>
      </c>
      <c r="F56" s="8">
        <f t="shared" si="0"/>
        <v>-40.907816716915832</v>
      </c>
      <c r="G56">
        <v>3.9611760427190887</v>
      </c>
      <c r="H56">
        <v>2.4770488558313062</v>
      </c>
    </row>
    <row r="57" spans="1:8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1"/>
        <v>38.861699431398506</v>
      </c>
      <c r="F57" s="8">
        <f t="shared" si="0"/>
        <v>-38.861699431398506</v>
      </c>
      <c r="G57">
        <v>3.9611760427190887</v>
      </c>
      <c r="H57">
        <v>4.5231661413486322</v>
      </c>
    </row>
    <row r="58" spans="1:8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1"/>
        <v>39.866410281221548</v>
      </c>
      <c r="F58" s="8">
        <f t="shared" si="0"/>
        <v>-39.866410281221548</v>
      </c>
      <c r="G58">
        <v>3.9611760427190887</v>
      </c>
      <c r="H58">
        <v>3.5184552915255907</v>
      </c>
    </row>
    <row r="59" spans="1:8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1"/>
        <v>42.43271965918656</v>
      </c>
      <c r="F59" s="8">
        <f t="shared" si="0"/>
        <v>-42.43271965918656</v>
      </c>
      <c r="G59">
        <v>3.9611760427190887</v>
      </c>
      <c r="H59">
        <v>0.95214591356057809</v>
      </c>
    </row>
    <row r="60" spans="1:8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1"/>
        <v>41.852476645216569</v>
      </c>
      <c r="F60" s="8">
        <f t="shared" si="0"/>
        <v>-41.852476645216569</v>
      </c>
      <c r="G60">
        <v>3.9611760427190887</v>
      </c>
      <c r="H60">
        <v>1.5323889275305689</v>
      </c>
    </row>
    <row r="61" spans="1:8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1"/>
        <v>42.535926277505041</v>
      </c>
      <c r="F61" s="8">
        <f t="shared" si="0"/>
        <v>-42.535926277505041</v>
      </c>
      <c r="G61">
        <v>3.9611760427190887</v>
      </c>
      <c r="H61">
        <v>0.8489392952420971</v>
      </c>
    </row>
    <row r="62" spans="1:8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1"/>
        <v>47.016816268955168</v>
      </c>
      <c r="F62" s="8">
        <f t="shared" si="0"/>
        <v>-47.016816268955168</v>
      </c>
      <c r="G62">
        <v>3.9611760427190887</v>
      </c>
      <c r="H62">
        <v>-3.6319506962080297</v>
      </c>
    </row>
    <row r="63" spans="1:8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1"/>
        <v>52.738005544109939</v>
      </c>
      <c r="F63" s="8">
        <f t="shared" si="0"/>
        <v>-52.738005544109939</v>
      </c>
      <c r="G63">
        <v>3.9611760427190887</v>
      </c>
      <c r="H63">
        <v>-9.3531399713628005</v>
      </c>
    </row>
    <row r="64" spans="1:8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1"/>
        <v>54.964996163688731</v>
      </c>
      <c r="F64" s="8">
        <f t="shared" si="0"/>
        <v>-54.964996163688731</v>
      </c>
      <c r="G64">
        <v>3.9611760427190887</v>
      </c>
      <c r="H64">
        <v>-11.580130590941593</v>
      </c>
    </row>
    <row r="65" spans="1:8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1"/>
        <v>55.233034535470892</v>
      </c>
      <c r="F65" s="8">
        <f t="shared" si="0"/>
        <v>-55.233034535470892</v>
      </c>
      <c r="G65">
        <v>3.9611760427190887</v>
      </c>
      <c r="H65">
        <v>-11.848168962723754</v>
      </c>
    </row>
    <row r="66" spans="1:8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1"/>
        <v>52.494831735872381</v>
      </c>
      <c r="F66" s="8">
        <f t="shared" si="0"/>
        <v>-52.494831735872381</v>
      </c>
      <c r="G66">
        <v>3.9611760427190887</v>
      </c>
      <c r="H66">
        <v>-9.1099661631252431</v>
      </c>
    </row>
    <row r="67" spans="1:8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1"/>
        <v>56.961547430479889</v>
      </c>
      <c r="F67" s="8">
        <f t="shared" si="0"/>
        <v>-56.961547430479889</v>
      </c>
      <c r="G67">
        <v>3.9611760427190887</v>
      </c>
      <c r="H67">
        <v>-13.576681857732751</v>
      </c>
    </row>
    <row r="68" spans="1:8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1"/>
        <v>53.856261994383132</v>
      </c>
      <c r="F68" s="8">
        <f t="shared" si="0"/>
        <v>-53.856261994383132</v>
      </c>
      <c r="G68">
        <v>3.9611760427190887</v>
      </c>
      <c r="H68">
        <v>-10.471396421635994</v>
      </c>
    </row>
    <row r="69" spans="1:8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1"/>
        <v>55.561224435942137</v>
      </c>
      <c r="F69" s="8">
        <f t="shared" si="0"/>
        <v>-55.561224435942137</v>
      </c>
      <c r="G69">
        <v>3.9611760427190887</v>
      </c>
      <c r="H69">
        <v>-12.176358863194999</v>
      </c>
    </row>
    <row r="70" spans="1:8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1"/>
        <v>52.252236369294792</v>
      </c>
      <c r="F70" s="8">
        <f t="shared" ref="F70:F86" si="2">E70*-1</f>
        <v>-52.252236369294792</v>
      </c>
      <c r="G70">
        <v>3.9611760427190887</v>
      </c>
      <c r="H70">
        <v>-8.8673707965476538</v>
      </c>
    </row>
    <row r="71" spans="1:8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3">D71+C71</f>
        <v>56.809630513636463</v>
      </c>
      <c r="F71" s="8">
        <f t="shared" si="2"/>
        <v>-56.809630513636463</v>
      </c>
      <c r="G71">
        <v>3.9611760427190887</v>
      </c>
      <c r="H71">
        <v>-13.424764940889325</v>
      </c>
    </row>
    <row r="72" spans="1:8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3"/>
        <v>58.424798546374305</v>
      </c>
      <c r="F72" s="8">
        <f t="shared" si="2"/>
        <v>-58.424798546374305</v>
      </c>
      <c r="G72">
        <v>3.9611760427190887</v>
      </c>
      <c r="H72">
        <v>-15.039932973627167</v>
      </c>
    </row>
    <row r="73" spans="1:8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3"/>
        <v>54.929394629727888</v>
      </c>
      <c r="F73" s="8">
        <f t="shared" si="2"/>
        <v>-54.929394629727888</v>
      </c>
      <c r="G73">
        <v>3.9611760427190887</v>
      </c>
      <c r="H73">
        <v>-11.54452905698075</v>
      </c>
    </row>
    <row r="74" spans="1:8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3"/>
        <v>59.024296909033858</v>
      </c>
      <c r="F74" s="8">
        <f t="shared" si="2"/>
        <v>-59.024296909033858</v>
      </c>
      <c r="G74">
        <v>3.9611760427190887</v>
      </c>
      <c r="H74">
        <v>-15.639431336286719</v>
      </c>
    </row>
    <row r="75" spans="1:8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3"/>
        <v>58.568334064603292</v>
      </c>
      <c r="F75" s="8">
        <f t="shared" si="2"/>
        <v>-58.568334064603292</v>
      </c>
      <c r="G75">
        <v>3.9611760427190887</v>
      </c>
      <c r="H75">
        <v>-15.183468491856154</v>
      </c>
    </row>
    <row r="76" spans="1:8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3"/>
        <v>55.996157847303003</v>
      </c>
      <c r="F76" s="8">
        <f t="shared" si="2"/>
        <v>-55.996157847303003</v>
      </c>
      <c r="G76">
        <v>3.9611760427190887</v>
      </c>
      <c r="H76">
        <v>-12.611292274555865</v>
      </c>
    </row>
    <row r="77" spans="1:8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3"/>
        <v>56.996799066473272</v>
      </c>
      <c r="F77" s="8">
        <f t="shared" si="2"/>
        <v>-56.996799066473272</v>
      </c>
      <c r="G77">
        <v>3.9611760427190887</v>
      </c>
      <c r="H77">
        <v>-13.611933493726134</v>
      </c>
    </row>
    <row r="78" spans="1:8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3"/>
        <v>54.56737833492933</v>
      </c>
      <c r="F78" s="8">
        <f t="shared" si="2"/>
        <v>-54.56737833492933</v>
      </c>
      <c r="G78">
        <v>3.9611760427190887</v>
      </c>
      <c r="H78">
        <v>-11.182512762182192</v>
      </c>
    </row>
    <row r="79" spans="1:8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3"/>
        <v>52.181582908774672</v>
      </c>
      <c r="F79" s="8">
        <f t="shared" si="2"/>
        <v>-52.181582908774672</v>
      </c>
      <c r="G79">
        <v>3.9611760427190887</v>
      </c>
      <c r="H79">
        <v>-8.7967173360275339</v>
      </c>
    </row>
    <row r="80" spans="1:8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3"/>
        <v>48.891767330105125</v>
      </c>
      <c r="F80" s="8">
        <f t="shared" si="2"/>
        <v>-48.891767330105125</v>
      </c>
      <c r="G80">
        <v>3.9611760427190887</v>
      </c>
      <c r="H80">
        <v>-5.506901757357987</v>
      </c>
    </row>
    <row r="81" spans="1:8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3"/>
        <v>47.812409809399789</v>
      </c>
      <c r="F81" s="8">
        <f t="shared" si="2"/>
        <v>-47.812409809399789</v>
      </c>
      <c r="G81">
        <v>3.9611760427190887</v>
      </c>
      <c r="H81">
        <v>-4.4275442366526505</v>
      </c>
    </row>
    <row r="82" spans="1:8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3"/>
        <v>49.892677374416017</v>
      </c>
      <c r="F82" s="8">
        <f t="shared" si="2"/>
        <v>-49.892677374416017</v>
      </c>
      <c r="G82">
        <v>3.9611760427190887</v>
      </c>
      <c r="H82">
        <v>-6.5078118016688791</v>
      </c>
    </row>
    <row r="83" spans="1:8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3"/>
        <v>48.014553896750222</v>
      </c>
      <c r="F83" s="8">
        <f t="shared" si="2"/>
        <v>-48.014553896750222</v>
      </c>
      <c r="G83">
        <v>3.9611760427190887</v>
      </c>
      <c r="H83">
        <v>-4.6296883240030837</v>
      </c>
    </row>
    <row r="84" spans="1:8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3"/>
        <v>42.806243515314122</v>
      </c>
      <c r="F84" s="8">
        <f t="shared" si="2"/>
        <v>-42.806243515314122</v>
      </c>
      <c r="G84">
        <v>3.9611760427190887</v>
      </c>
      <c r="H84">
        <v>0.57862205743301587</v>
      </c>
    </row>
    <row r="85" spans="1:8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3"/>
        <v>44.002461805468336</v>
      </c>
      <c r="F85" s="8">
        <f t="shared" si="2"/>
        <v>-44.002461805468336</v>
      </c>
      <c r="G85">
        <v>3.9611760427190887</v>
      </c>
      <c r="H85">
        <v>-0.61759623272119768</v>
      </c>
    </row>
    <row r="86" spans="1:8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3"/>
        <v>42.553317400219882</v>
      </c>
      <c r="F86" s="8">
        <f t="shared" si="2"/>
        <v>-42.553317400219882</v>
      </c>
      <c r="G86">
        <v>3.9611760427190887</v>
      </c>
      <c r="H86">
        <v>0.83154817252725621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:H86"/>
  <sheetViews>
    <sheetView topLeftCell="A3" workbookViewId="0">
      <selection activeCell="H86" sqref="H6:H86"/>
    </sheetView>
  </sheetViews>
  <sheetFormatPr defaultRowHeight="15.75"/>
  <cols>
    <col min="1" max="2" width="9" style="17"/>
    <col min="3" max="6" width="9" style="8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0</v>
      </c>
      <c r="E6" s="8">
        <f>C6+D6</f>
        <v>13.72339088530758</v>
      </c>
      <c r="F6" s="8">
        <f t="shared" ref="F6:F69" si="0">E6*-1</f>
        <v>-13.72339088530758</v>
      </c>
      <c r="G6">
        <f t="dataTable" ref="G6:G86" dt2D="0" dtr="0" r1="B1"/>
        <v>3.9611760427190887</v>
      </c>
      <c r="H6">
        <v>29.661474687439558</v>
      </c>
    </row>
    <row r="7" spans="1:8">
      <c r="A7" s="17">
        <v>6</v>
      </c>
      <c r="B7" s="17">
        <v>2016</v>
      </c>
      <c r="C7" s="8">
        <v>13.329083863797189</v>
      </c>
      <c r="D7" s="8">
        <v>0</v>
      </c>
      <c r="E7" s="8">
        <f t="shared" ref="E7:E70" si="1">C7+D7</f>
        <v>13.329083863797189</v>
      </c>
      <c r="F7" s="8">
        <f t="shared" si="0"/>
        <v>-13.329083863797189</v>
      </c>
      <c r="G7">
        <v>3.9611760427190887</v>
      </c>
      <c r="H7">
        <v>30.055781708949951</v>
      </c>
    </row>
    <row r="8" spans="1:8">
      <c r="A8" s="17">
        <v>7</v>
      </c>
      <c r="B8" s="17">
        <v>2016</v>
      </c>
      <c r="C8" s="8">
        <v>10.87284952995077</v>
      </c>
      <c r="D8" s="8">
        <v>0</v>
      </c>
      <c r="E8" s="8">
        <f t="shared" si="1"/>
        <v>10.87284952995077</v>
      </c>
      <c r="F8" s="8">
        <f t="shared" si="0"/>
        <v>-10.87284952995077</v>
      </c>
      <c r="G8">
        <v>3.9611760427190887</v>
      </c>
      <c r="H8">
        <v>32.512016042796368</v>
      </c>
    </row>
    <row r="9" spans="1:8">
      <c r="A9" s="17">
        <v>8</v>
      </c>
      <c r="B9" s="17">
        <v>2016</v>
      </c>
      <c r="C9" s="8">
        <v>8.9543908708490587</v>
      </c>
      <c r="D9" s="8">
        <v>0</v>
      </c>
      <c r="E9" s="8">
        <f t="shared" si="1"/>
        <v>8.9543908708490587</v>
      </c>
      <c r="F9" s="8">
        <f t="shared" si="0"/>
        <v>-8.9543908708490587</v>
      </c>
      <c r="G9">
        <v>3.9611760427190887</v>
      </c>
      <c r="H9">
        <v>34.430474701898078</v>
      </c>
    </row>
    <row r="10" spans="1:8">
      <c r="A10" s="17">
        <v>9</v>
      </c>
      <c r="B10" s="17">
        <v>2016</v>
      </c>
      <c r="C10" s="8">
        <v>10.806503969388039</v>
      </c>
      <c r="D10" s="8">
        <v>0</v>
      </c>
      <c r="E10" s="8">
        <f t="shared" si="1"/>
        <v>10.806503969388039</v>
      </c>
      <c r="F10" s="8">
        <f t="shared" si="0"/>
        <v>-10.806503969388039</v>
      </c>
      <c r="G10">
        <v>3.9611760427190887</v>
      </c>
      <c r="H10">
        <v>32.578361603359099</v>
      </c>
    </row>
    <row r="11" spans="1:8">
      <c r="A11" s="17">
        <v>10</v>
      </c>
      <c r="B11" s="17">
        <v>2016</v>
      </c>
      <c r="C11" s="8">
        <v>10.565226315079549</v>
      </c>
      <c r="D11" s="8">
        <v>0</v>
      </c>
      <c r="E11" s="8">
        <f t="shared" si="1"/>
        <v>10.565226315079549</v>
      </c>
      <c r="F11" s="8">
        <f t="shared" si="0"/>
        <v>-10.565226315079549</v>
      </c>
      <c r="G11">
        <v>3.9611760427190887</v>
      </c>
      <c r="H11">
        <v>32.819639257667589</v>
      </c>
    </row>
    <row r="12" spans="1:8">
      <c r="A12" s="17">
        <v>11</v>
      </c>
      <c r="B12" s="17">
        <v>2016</v>
      </c>
      <c r="C12" s="8">
        <v>11.39289442606475</v>
      </c>
      <c r="D12" s="8">
        <v>0</v>
      </c>
      <c r="E12" s="8">
        <f t="shared" si="1"/>
        <v>11.39289442606475</v>
      </c>
      <c r="F12" s="8">
        <f t="shared" si="0"/>
        <v>-11.39289442606475</v>
      </c>
      <c r="G12">
        <v>3.9611760427190887</v>
      </c>
      <c r="H12">
        <v>31.991971146682388</v>
      </c>
    </row>
    <row r="13" spans="1:8">
      <c r="A13" s="17">
        <v>12</v>
      </c>
      <c r="B13" s="17">
        <v>2016</v>
      </c>
      <c r="C13" s="8">
        <v>10.33484208032198</v>
      </c>
      <c r="D13" s="8">
        <v>0</v>
      </c>
      <c r="E13" s="8">
        <f t="shared" si="1"/>
        <v>10.33484208032198</v>
      </c>
      <c r="F13" s="8">
        <f t="shared" si="0"/>
        <v>-10.33484208032198</v>
      </c>
      <c r="G13">
        <v>3.9611760427190887</v>
      </c>
      <c r="H13">
        <v>33.050023492425154</v>
      </c>
    </row>
    <row r="14" spans="1:8">
      <c r="A14" s="17">
        <v>1</v>
      </c>
      <c r="B14" s="17">
        <v>2017</v>
      </c>
      <c r="C14" s="8">
        <v>10.52072553733966</v>
      </c>
      <c r="D14" s="8">
        <v>0</v>
      </c>
      <c r="E14" s="8">
        <f t="shared" si="1"/>
        <v>10.52072553733966</v>
      </c>
      <c r="F14" s="8">
        <f t="shared" si="0"/>
        <v>-10.52072553733966</v>
      </c>
      <c r="G14">
        <v>3.9611760427190887</v>
      </c>
      <c r="H14">
        <v>32.86414003540748</v>
      </c>
    </row>
    <row r="15" spans="1:8">
      <c r="A15" s="17">
        <v>2</v>
      </c>
      <c r="B15" s="17">
        <v>2017</v>
      </c>
      <c r="C15" s="8">
        <v>10.782457325166609</v>
      </c>
      <c r="D15" s="8">
        <v>0</v>
      </c>
      <c r="E15" s="8">
        <f t="shared" si="1"/>
        <v>10.782457325166609</v>
      </c>
      <c r="F15" s="8">
        <f t="shared" si="0"/>
        <v>-10.782457325166609</v>
      </c>
      <c r="G15">
        <v>3.9611760427190887</v>
      </c>
      <c r="H15">
        <v>32.602408247580527</v>
      </c>
    </row>
    <row r="16" spans="1:8">
      <c r="A16" s="17">
        <v>3</v>
      </c>
      <c r="B16" s="17">
        <v>2017</v>
      </c>
      <c r="C16" s="8">
        <v>10.736681785564381</v>
      </c>
      <c r="D16" s="8">
        <v>0</v>
      </c>
      <c r="E16" s="8">
        <f t="shared" si="1"/>
        <v>10.736681785564381</v>
      </c>
      <c r="F16" s="8">
        <f t="shared" si="0"/>
        <v>-10.736681785564381</v>
      </c>
      <c r="G16">
        <v>3.9611760427190887</v>
      </c>
      <c r="H16">
        <v>32.648183787182759</v>
      </c>
    </row>
    <row r="17" spans="1:8">
      <c r="A17" s="17">
        <v>4</v>
      </c>
      <c r="B17" s="17">
        <v>2017</v>
      </c>
      <c r="C17" s="8">
        <v>10.10712325673113</v>
      </c>
      <c r="D17" s="8">
        <v>0</v>
      </c>
      <c r="E17" s="8">
        <f t="shared" si="1"/>
        <v>10.10712325673113</v>
      </c>
      <c r="F17" s="8">
        <f t="shared" si="0"/>
        <v>-10.10712325673113</v>
      </c>
      <c r="G17">
        <v>3.9611760427190887</v>
      </c>
      <c r="H17">
        <v>33.27774231601601</v>
      </c>
    </row>
    <row r="18" spans="1:8">
      <c r="A18" s="17">
        <v>5</v>
      </c>
      <c r="B18" s="17">
        <v>2017</v>
      </c>
      <c r="C18" s="8">
        <v>8.9873029043858566</v>
      </c>
      <c r="D18" s="8">
        <v>0</v>
      </c>
      <c r="E18" s="8">
        <f t="shared" si="1"/>
        <v>8.9873029043858566</v>
      </c>
      <c r="F18" s="8">
        <f t="shared" si="0"/>
        <v>-8.9873029043858566</v>
      </c>
      <c r="G18">
        <v>3.9611760427190887</v>
      </c>
      <c r="H18">
        <v>34.397562668361282</v>
      </c>
    </row>
    <row r="19" spans="1:8">
      <c r="A19" s="17">
        <v>6</v>
      </c>
      <c r="B19" s="17">
        <v>2017</v>
      </c>
      <c r="C19" s="8">
        <v>8.8343894246259893</v>
      </c>
      <c r="D19" s="8">
        <v>0</v>
      </c>
      <c r="E19" s="8">
        <f t="shared" si="1"/>
        <v>8.8343894246259893</v>
      </c>
      <c r="F19" s="8">
        <f t="shared" si="0"/>
        <v>-8.8343894246259893</v>
      </c>
      <c r="G19">
        <v>3.9611760427190887</v>
      </c>
      <c r="H19">
        <v>34.550476148121149</v>
      </c>
    </row>
    <row r="20" spans="1:8">
      <c r="A20" s="17">
        <v>7</v>
      </c>
      <c r="B20" s="17">
        <v>2017</v>
      </c>
      <c r="C20" s="8">
        <v>8.8850901805145401</v>
      </c>
      <c r="D20" s="8">
        <v>0</v>
      </c>
      <c r="E20" s="8">
        <f t="shared" si="1"/>
        <v>8.8850901805145401</v>
      </c>
      <c r="F20" s="8">
        <f t="shared" si="0"/>
        <v>-8.8850901805145401</v>
      </c>
      <c r="G20">
        <v>3.9611760427190887</v>
      </c>
      <c r="H20">
        <v>34.4997753922326</v>
      </c>
    </row>
    <row r="21" spans="1:8">
      <c r="A21" s="17">
        <v>8</v>
      </c>
      <c r="B21" s="17">
        <v>2017</v>
      </c>
      <c r="C21" s="8">
        <v>9.6861621235536255</v>
      </c>
      <c r="D21" s="8">
        <v>0</v>
      </c>
      <c r="E21" s="8">
        <f t="shared" si="1"/>
        <v>9.6861621235536255</v>
      </c>
      <c r="F21" s="8">
        <f t="shared" si="0"/>
        <v>-9.6861621235536255</v>
      </c>
      <c r="G21">
        <v>3.9611760427190887</v>
      </c>
      <c r="H21">
        <v>33.698703449193516</v>
      </c>
    </row>
    <row r="22" spans="1:8">
      <c r="A22" s="17">
        <v>9</v>
      </c>
      <c r="B22" s="17">
        <v>2017</v>
      </c>
      <c r="C22" s="8">
        <v>10.243580719722599</v>
      </c>
      <c r="D22" s="8">
        <v>0</v>
      </c>
      <c r="E22" s="8">
        <f t="shared" si="1"/>
        <v>10.243580719722599</v>
      </c>
      <c r="F22" s="8">
        <f t="shared" si="0"/>
        <v>-10.243580719722599</v>
      </c>
      <c r="G22">
        <v>3.9611760427190887</v>
      </c>
      <c r="H22">
        <v>33.141284853024537</v>
      </c>
    </row>
    <row r="23" spans="1:8">
      <c r="A23" s="17">
        <v>10</v>
      </c>
      <c r="B23" s="17">
        <v>2017</v>
      </c>
      <c r="C23" s="8">
        <v>10.59767479884823</v>
      </c>
      <c r="D23" s="8">
        <v>0</v>
      </c>
      <c r="E23" s="8">
        <f t="shared" si="1"/>
        <v>10.59767479884823</v>
      </c>
      <c r="F23" s="8">
        <f t="shared" si="0"/>
        <v>-10.59767479884823</v>
      </c>
      <c r="G23">
        <v>3.9611760427190887</v>
      </c>
      <c r="H23">
        <v>32.787190773898907</v>
      </c>
    </row>
    <row r="24" spans="1:8">
      <c r="A24" s="17">
        <v>11</v>
      </c>
      <c r="B24" s="17">
        <v>2017</v>
      </c>
      <c r="C24" s="8">
        <v>10.87227009274061</v>
      </c>
      <c r="D24" s="8">
        <v>0</v>
      </c>
      <c r="E24" s="8">
        <f t="shared" si="1"/>
        <v>10.87227009274061</v>
      </c>
      <c r="F24" s="8">
        <f t="shared" si="0"/>
        <v>-10.87227009274061</v>
      </c>
      <c r="G24">
        <v>3.9611760427190887</v>
      </c>
      <c r="H24">
        <v>32.512595480006524</v>
      </c>
    </row>
    <row r="25" spans="1:8">
      <c r="A25" s="17">
        <v>12</v>
      </c>
      <c r="B25" s="17">
        <v>2017</v>
      </c>
      <c r="C25" s="8">
        <v>11.600622665905259</v>
      </c>
      <c r="D25" s="8">
        <v>0</v>
      </c>
      <c r="E25" s="8">
        <f t="shared" si="1"/>
        <v>11.600622665905259</v>
      </c>
      <c r="F25" s="8">
        <f t="shared" si="0"/>
        <v>-11.600622665905259</v>
      </c>
      <c r="G25">
        <v>3.9611760427190887</v>
      </c>
      <c r="H25">
        <v>31.784242906841879</v>
      </c>
    </row>
    <row r="26" spans="1:8">
      <c r="A26" s="17">
        <v>1</v>
      </c>
      <c r="B26" s="17">
        <v>2018</v>
      </c>
      <c r="C26" s="8">
        <v>13.652004221016499</v>
      </c>
      <c r="D26" s="8">
        <v>0</v>
      </c>
      <c r="E26" s="8">
        <f t="shared" si="1"/>
        <v>13.652004221016499</v>
      </c>
      <c r="F26" s="8">
        <f t="shared" si="0"/>
        <v>-13.652004221016499</v>
      </c>
      <c r="G26">
        <v>3.9611760427190887</v>
      </c>
      <c r="H26">
        <v>29.732861351730641</v>
      </c>
    </row>
    <row r="27" spans="1:8">
      <c r="A27" s="17">
        <v>2</v>
      </c>
      <c r="B27" s="17">
        <v>2018</v>
      </c>
      <c r="C27" s="8">
        <v>15.69289796262392</v>
      </c>
      <c r="D27" s="8">
        <v>0</v>
      </c>
      <c r="E27" s="8">
        <f t="shared" si="1"/>
        <v>15.69289796262392</v>
      </c>
      <c r="F27" s="8">
        <f t="shared" si="0"/>
        <v>-15.69289796262392</v>
      </c>
      <c r="G27">
        <v>3.9611760427190887</v>
      </c>
      <c r="H27">
        <v>27.691967610123218</v>
      </c>
    </row>
    <row r="28" spans="1:8">
      <c r="A28" s="17">
        <v>3</v>
      </c>
      <c r="B28" s="17">
        <v>2018</v>
      </c>
      <c r="C28" s="8">
        <v>14.19592193018886</v>
      </c>
      <c r="D28" s="8">
        <v>0</v>
      </c>
      <c r="E28" s="8">
        <f t="shared" si="1"/>
        <v>14.19592193018886</v>
      </c>
      <c r="F28" s="8">
        <f t="shared" si="0"/>
        <v>-14.19592193018886</v>
      </c>
      <c r="G28">
        <v>3.9611760427190887</v>
      </c>
      <c r="H28">
        <v>29.188943642558279</v>
      </c>
    </row>
    <row r="29" spans="1:8">
      <c r="A29" s="17">
        <v>4</v>
      </c>
      <c r="B29" s="17">
        <v>2018</v>
      </c>
      <c r="C29" s="8">
        <v>15.27025646153697</v>
      </c>
      <c r="D29" s="8">
        <v>0</v>
      </c>
      <c r="E29" s="8">
        <f t="shared" si="1"/>
        <v>15.27025646153697</v>
      </c>
      <c r="F29" s="8">
        <f t="shared" si="0"/>
        <v>-15.27025646153697</v>
      </c>
      <c r="G29">
        <v>3.9611760427190887</v>
      </c>
      <c r="H29">
        <v>28.114609111210168</v>
      </c>
    </row>
    <row r="30" spans="1:8">
      <c r="A30" s="17">
        <v>5</v>
      </c>
      <c r="B30" s="17">
        <v>2018</v>
      </c>
      <c r="C30" s="8">
        <v>16.401839389248391</v>
      </c>
      <c r="D30" s="8">
        <v>0</v>
      </c>
      <c r="E30" s="8">
        <f t="shared" si="1"/>
        <v>16.401839389248391</v>
      </c>
      <c r="F30" s="8">
        <f t="shared" si="0"/>
        <v>-16.401839389248391</v>
      </c>
      <c r="G30">
        <v>3.9611760427190887</v>
      </c>
      <c r="H30">
        <v>26.983026183498747</v>
      </c>
    </row>
    <row r="31" spans="1:8">
      <c r="A31" s="17">
        <v>6</v>
      </c>
      <c r="B31" s="17">
        <v>2018</v>
      </c>
      <c r="C31" s="8">
        <v>17.556657749087009</v>
      </c>
      <c r="D31" s="8">
        <v>0</v>
      </c>
      <c r="E31" s="8">
        <f t="shared" si="1"/>
        <v>17.556657749087009</v>
      </c>
      <c r="F31" s="8">
        <f t="shared" si="0"/>
        <v>-17.556657749087009</v>
      </c>
      <c r="G31">
        <v>3.9611760427190887</v>
      </c>
      <c r="H31">
        <v>25.828207823660129</v>
      </c>
    </row>
    <row r="32" spans="1:8">
      <c r="A32" s="17">
        <v>7</v>
      </c>
      <c r="B32" s="17">
        <v>2018</v>
      </c>
      <c r="C32" s="8">
        <v>19.66494003823545</v>
      </c>
      <c r="D32" s="8">
        <v>0</v>
      </c>
      <c r="E32" s="8">
        <f t="shared" si="1"/>
        <v>19.66494003823545</v>
      </c>
      <c r="F32" s="8">
        <f t="shared" si="0"/>
        <v>-19.66494003823545</v>
      </c>
      <c r="G32">
        <v>3.9611760427190887</v>
      </c>
      <c r="H32">
        <v>23.719925534511688</v>
      </c>
    </row>
    <row r="33" spans="1:8">
      <c r="A33" s="17">
        <v>8</v>
      </c>
      <c r="B33" s="17">
        <v>2018</v>
      </c>
      <c r="C33" s="8">
        <v>20.858580691154451</v>
      </c>
      <c r="D33" s="8">
        <v>0</v>
      </c>
      <c r="E33" s="8">
        <f t="shared" si="1"/>
        <v>20.858580691154451</v>
      </c>
      <c r="F33" s="8">
        <f t="shared" si="0"/>
        <v>-20.858580691154451</v>
      </c>
      <c r="G33">
        <v>3.9611760427190887</v>
      </c>
      <c r="H33">
        <v>22.526284881592687</v>
      </c>
    </row>
    <row r="34" spans="1:8">
      <c r="A34" s="17">
        <v>9</v>
      </c>
      <c r="B34" s="17">
        <v>2018</v>
      </c>
      <c r="C34" s="8">
        <v>19.939013838638701</v>
      </c>
      <c r="D34" s="8">
        <v>0</v>
      </c>
      <c r="E34" s="8">
        <f t="shared" si="1"/>
        <v>19.939013838638701</v>
      </c>
      <c r="F34" s="8">
        <f t="shared" si="0"/>
        <v>-19.939013838638701</v>
      </c>
      <c r="G34">
        <v>3.9611760427190887</v>
      </c>
      <c r="H34">
        <v>23.445851734108437</v>
      </c>
    </row>
    <row r="35" spans="1:8">
      <c r="A35" s="17">
        <v>10</v>
      </c>
      <c r="B35" s="17">
        <v>2018</v>
      </c>
      <c r="C35" s="8">
        <v>21.08896492591202</v>
      </c>
      <c r="D35" s="8">
        <v>0</v>
      </c>
      <c r="E35" s="8">
        <f t="shared" si="1"/>
        <v>21.08896492591202</v>
      </c>
      <c r="F35" s="8">
        <f t="shared" si="0"/>
        <v>-21.08896492591202</v>
      </c>
      <c r="G35">
        <v>3.9611760427190887</v>
      </c>
      <c r="H35">
        <v>22.295900646835118</v>
      </c>
    </row>
    <row r="36" spans="1:8">
      <c r="A36" s="17">
        <v>11</v>
      </c>
      <c r="B36" s="17">
        <v>2018</v>
      </c>
      <c r="C36" s="8">
        <v>20.922318784271489</v>
      </c>
      <c r="D36" s="8">
        <v>0</v>
      </c>
      <c r="E36" s="8">
        <f t="shared" si="1"/>
        <v>20.922318784271489</v>
      </c>
      <c r="F36" s="8">
        <f t="shared" si="0"/>
        <v>-20.922318784271489</v>
      </c>
      <c r="G36">
        <v>3.9611760427190887</v>
      </c>
      <c r="H36">
        <v>22.462546788475649</v>
      </c>
    </row>
    <row r="37" spans="1:8">
      <c r="A37" s="17">
        <v>12</v>
      </c>
      <c r="B37" s="17">
        <v>2018</v>
      </c>
      <c r="C37" s="8">
        <v>21.341599549539541</v>
      </c>
      <c r="D37" s="8">
        <v>0</v>
      </c>
      <c r="E37" s="8">
        <f t="shared" si="1"/>
        <v>21.341599549539541</v>
      </c>
      <c r="F37" s="8">
        <f t="shared" si="0"/>
        <v>-21.341599549539541</v>
      </c>
      <c r="G37">
        <v>3.9611760427190887</v>
      </c>
      <c r="H37">
        <v>22.043266023207597</v>
      </c>
    </row>
    <row r="38" spans="1:8">
      <c r="A38" s="17">
        <v>1</v>
      </c>
      <c r="B38" s="17">
        <v>2019</v>
      </c>
      <c r="C38" s="8">
        <v>21.998913120739211</v>
      </c>
      <c r="D38" s="8">
        <v>0</v>
      </c>
      <c r="E38" s="8">
        <f t="shared" si="1"/>
        <v>21.998913120739211</v>
      </c>
      <c r="F38" s="8">
        <f t="shared" si="0"/>
        <v>-21.998913120739211</v>
      </c>
      <c r="G38">
        <v>3.9611760427190887</v>
      </c>
      <c r="H38">
        <v>21.385952452007928</v>
      </c>
    </row>
    <row r="39" spans="1:8">
      <c r="A39" s="17">
        <v>2</v>
      </c>
      <c r="B39" s="17">
        <v>2019</v>
      </c>
      <c r="C39" s="8">
        <v>21.58548467129372</v>
      </c>
      <c r="D39" s="8">
        <v>0</v>
      </c>
      <c r="E39" s="8">
        <f t="shared" si="1"/>
        <v>21.58548467129372</v>
      </c>
      <c r="F39" s="8">
        <f t="shared" si="0"/>
        <v>-21.58548467129372</v>
      </c>
      <c r="G39">
        <v>3.9611760427190887</v>
      </c>
      <c r="H39">
        <v>21.799380901453418</v>
      </c>
    </row>
    <row r="40" spans="1:8">
      <c r="A40" s="17">
        <v>3</v>
      </c>
      <c r="B40" s="17">
        <v>2019</v>
      </c>
      <c r="C40" s="8">
        <v>22.057146560359769</v>
      </c>
      <c r="D40" s="8">
        <v>0</v>
      </c>
      <c r="E40" s="8">
        <f t="shared" si="1"/>
        <v>22.057146560359769</v>
      </c>
      <c r="F40" s="8">
        <f t="shared" si="0"/>
        <v>-22.057146560359769</v>
      </c>
      <c r="G40">
        <v>3.9611760427190887</v>
      </c>
      <c r="H40">
        <v>21.327719012387369</v>
      </c>
    </row>
    <row r="41" spans="1:8">
      <c r="A41" s="17">
        <v>4</v>
      </c>
      <c r="B41" s="17">
        <v>2019</v>
      </c>
      <c r="C41" s="8">
        <v>21.528641880977521</v>
      </c>
      <c r="D41" s="8">
        <v>0</v>
      </c>
      <c r="E41" s="8">
        <f t="shared" si="1"/>
        <v>21.528641880977521</v>
      </c>
      <c r="F41" s="8">
        <f t="shared" si="0"/>
        <v>-21.528641880977521</v>
      </c>
      <c r="G41">
        <v>3.9611760427190887</v>
      </c>
      <c r="H41">
        <v>21.856223691769618</v>
      </c>
    </row>
    <row r="42" spans="1:8">
      <c r="A42" s="17">
        <v>5</v>
      </c>
      <c r="B42" s="17">
        <v>2019</v>
      </c>
      <c r="C42" s="8">
        <v>21.458298203664729</v>
      </c>
      <c r="D42" s="8">
        <v>0</v>
      </c>
      <c r="E42" s="8">
        <f t="shared" si="1"/>
        <v>21.458298203664729</v>
      </c>
      <c r="F42" s="8">
        <f t="shared" si="0"/>
        <v>-21.458298203664729</v>
      </c>
      <c r="G42">
        <v>3.9611760427190887</v>
      </c>
      <c r="H42">
        <v>21.926567369082409</v>
      </c>
    </row>
    <row r="43" spans="1:8">
      <c r="A43" s="17">
        <v>6</v>
      </c>
      <c r="B43" s="17">
        <v>2019</v>
      </c>
      <c r="C43" s="8">
        <v>22.031361604507879</v>
      </c>
      <c r="D43" s="8">
        <v>0</v>
      </c>
      <c r="E43" s="8">
        <f t="shared" si="1"/>
        <v>22.031361604507879</v>
      </c>
      <c r="F43" s="8">
        <f t="shared" si="0"/>
        <v>-22.031361604507879</v>
      </c>
      <c r="G43">
        <v>3.9611760427190887</v>
      </c>
      <c r="H43">
        <v>21.353503968239259</v>
      </c>
    </row>
    <row r="44" spans="1:8">
      <c r="A44" s="17">
        <v>7</v>
      </c>
      <c r="B44" s="17">
        <v>2019</v>
      </c>
      <c r="C44" s="8">
        <v>22.467098386544329</v>
      </c>
      <c r="D44" s="8">
        <v>0</v>
      </c>
      <c r="E44" s="8">
        <f t="shared" si="1"/>
        <v>22.467098386544329</v>
      </c>
      <c r="F44" s="8">
        <f t="shared" si="0"/>
        <v>-22.467098386544329</v>
      </c>
      <c r="G44">
        <v>3.9611760427190887</v>
      </c>
      <c r="H44">
        <v>20.917767186202809</v>
      </c>
    </row>
    <row r="45" spans="1:8">
      <c r="A45" s="17">
        <v>8</v>
      </c>
      <c r="B45" s="17">
        <v>2019</v>
      </c>
      <c r="C45" s="8">
        <v>22.509687021490709</v>
      </c>
      <c r="D45" s="8">
        <v>0</v>
      </c>
      <c r="E45" s="8">
        <f t="shared" si="1"/>
        <v>22.509687021490709</v>
      </c>
      <c r="F45" s="8">
        <f t="shared" si="0"/>
        <v>-22.509687021490709</v>
      </c>
      <c r="G45">
        <v>3.9611760427190887</v>
      </c>
      <c r="H45">
        <v>20.875178551256429</v>
      </c>
    </row>
    <row r="46" spans="1:8">
      <c r="A46" s="17">
        <v>9</v>
      </c>
      <c r="B46" s="17">
        <v>2019</v>
      </c>
      <c r="C46" s="8">
        <v>22.529909380125119</v>
      </c>
      <c r="D46" s="8">
        <v>0</v>
      </c>
      <c r="E46" s="8">
        <f t="shared" si="1"/>
        <v>22.529909380125119</v>
      </c>
      <c r="F46" s="8">
        <f t="shared" si="0"/>
        <v>-22.529909380125119</v>
      </c>
      <c r="G46">
        <v>3.9611760427190887</v>
      </c>
      <c r="H46">
        <v>20.854956192622019</v>
      </c>
    </row>
    <row r="47" spans="1:8">
      <c r="A47" s="17">
        <v>10</v>
      </c>
      <c r="B47" s="17">
        <v>2019</v>
      </c>
      <c r="C47" s="8">
        <v>22.770433766060389</v>
      </c>
      <c r="D47" s="8">
        <v>0</v>
      </c>
      <c r="E47" s="8">
        <f t="shared" si="1"/>
        <v>22.770433766060389</v>
      </c>
      <c r="F47" s="8">
        <f t="shared" si="0"/>
        <v>-22.770433766060389</v>
      </c>
      <c r="G47">
        <v>3.9611760427190887</v>
      </c>
      <c r="H47">
        <v>20.614431806686749</v>
      </c>
    </row>
    <row r="48" spans="1:8">
      <c r="A48" s="17">
        <v>11</v>
      </c>
      <c r="B48" s="17">
        <v>2019</v>
      </c>
      <c r="C48" s="8">
        <v>22.614854875133819</v>
      </c>
      <c r="D48" s="8">
        <v>0</v>
      </c>
      <c r="E48" s="8">
        <f t="shared" si="1"/>
        <v>22.614854875133819</v>
      </c>
      <c r="F48" s="8">
        <f t="shared" si="0"/>
        <v>-22.614854875133819</v>
      </c>
      <c r="G48">
        <v>3.9611760427190887</v>
      </c>
      <c r="H48">
        <v>20.770010697613319</v>
      </c>
    </row>
    <row r="49" spans="1:8">
      <c r="A49" s="17">
        <v>12</v>
      </c>
      <c r="B49" s="17">
        <v>2019</v>
      </c>
      <c r="C49" s="8">
        <v>22.778603830723579</v>
      </c>
      <c r="D49" s="8">
        <v>0</v>
      </c>
      <c r="E49" s="8">
        <f t="shared" si="1"/>
        <v>22.778603830723579</v>
      </c>
      <c r="F49" s="8">
        <f t="shared" si="0"/>
        <v>-22.778603830723579</v>
      </c>
      <c r="G49">
        <v>3.9611760427190887</v>
      </c>
      <c r="H49">
        <v>20.606261742023559</v>
      </c>
    </row>
    <row r="50" spans="1:8">
      <c r="A50" s="17">
        <v>1</v>
      </c>
      <c r="B50" s="17">
        <v>2020</v>
      </c>
      <c r="C50" s="8">
        <v>23.29685247148608</v>
      </c>
      <c r="D50" s="8">
        <v>0</v>
      </c>
      <c r="E50" s="8">
        <f t="shared" si="1"/>
        <v>23.29685247148608</v>
      </c>
      <c r="F50" s="8">
        <f t="shared" si="0"/>
        <v>-23.29685247148608</v>
      </c>
      <c r="G50">
        <v>3.9611760427190887</v>
      </c>
      <c r="H50">
        <v>20.088013101261058</v>
      </c>
    </row>
    <row r="51" spans="1:8">
      <c r="A51" s="17">
        <v>2</v>
      </c>
      <c r="B51" s="17">
        <v>2020</v>
      </c>
      <c r="C51" s="8">
        <v>23.934523121261499</v>
      </c>
      <c r="D51" s="8">
        <v>0</v>
      </c>
      <c r="E51" s="8">
        <f t="shared" si="1"/>
        <v>23.934523121261499</v>
      </c>
      <c r="F51" s="8">
        <f t="shared" si="0"/>
        <v>-23.934523121261499</v>
      </c>
      <c r="G51">
        <v>3.9611760427190887</v>
      </c>
      <c r="H51">
        <v>19.450342451485639</v>
      </c>
    </row>
    <row r="52" spans="1:8">
      <c r="A52" s="17">
        <v>3</v>
      </c>
      <c r="B52" s="17">
        <v>2020</v>
      </c>
      <c r="C52" s="8">
        <v>23.186991176440721</v>
      </c>
      <c r="D52" s="8">
        <v>0</v>
      </c>
      <c r="E52" s="8">
        <f t="shared" si="1"/>
        <v>23.186991176440721</v>
      </c>
      <c r="F52" s="8">
        <f t="shared" si="0"/>
        <v>-23.186991176440721</v>
      </c>
      <c r="G52">
        <v>3.9611760427190887</v>
      </c>
      <c r="H52">
        <v>20.197874396306418</v>
      </c>
    </row>
    <row r="53" spans="1:8">
      <c r="A53" s="17">
        <v>4</v>
      </c>
      <c r="B53" s="17">
        <v>2020</v>
      </c>
      <c r="C53" s="8">
        <v>23.039872068782401</v>
      </c>
      <c r="D53" s="8">
        <v>0</v>
      </c>
      <c r="E53" s="8">
        <f t="shared" si="1"/>
        <v>23.039872068782401</v>
      </c>
      <c r="F53" s="8">
        <f t="shared" si="0"/>
        <v>-23.039872068782401</v>
      </c>
      <c r="G53">
        <v>3.9611760427190887</v>
      </c>
      <c r="H53">
        <v>20.344993503964737</v>
      </c>
    </row>
    <row r="54" spans="1:8">
      <c r="A54" s="17">
        <v>5</v>
      </c>
      <c r="B54" s="17">
        <v>2020</v>
      </c>
      <c r="C54" s="8">
        <v>22.67424718917469</v>
      </c>
      <c r="D54" s="8">
        <v>0</v>
      </c>
      <c r="E54" s="8">
        <f t="shared" si="1"/>
        <v>22.67424718917469</v>
      </c>
      <c r="F54" s="8">
        <f t="shared" si="0"/>
        <v>-22.67424718917469</v>
      </c>
      <c r="G54">
        <v>3.9611760427190887</v>
      </c>
      <c r="H54">
        <v>20.710618383572449</v>
      </c>
    </row>
    <row r="55" spans="1:8">
      <c r="A55" s="17">
        <v>6</v>
      </c>
      <c r="B55" s="17">
        <v>2020</v>
      </c>
      <c r="C55" s="8">
        <v>23.478100430822519</v>
      </c>
      <c r="D55" s="8">
        <v>0</v>
      </c>
      <c r="E55" s="8">
        <f t="shared" si="1"/>
        <v>23.478100430822519</v>
      </c>
      <c r="F55" s="8">
        <f t="shared" si="0"/>
        <v>-23.478100430822519</v>
      </c>
      <c r="G55">
        <v>3.9611760427190887</v>
      </c>
      <c r="H55">
        <v>19.90676514192462</v>
      </c>
    </row>
    <row r="56" spans="1:8">
      <c r="A56" s="17">
        <v>7</v>
      </c>
      <c r="B56" s="17">
        <v>2020</v>
      </c>
      <c r="C56" s="8">
        <v>23.043928129253491</v>
      </c>
      <c r="D56" s="8">
        <v>0</v>
      </c>
      <c r="E56" s="8">
        <f t="shared" si="1"/>
        <v>23.043928129253491</v>
      </c>
      <c r="F56" s="8">
        <f t="shared" si="0"/>
        <v>-23.043928129253491</v>
      </c>
      <c r="G56">
        <v>3.9611760427190887</v>
      </c>
      <c r="H56">
        <v>20.340937443493647</v>
      </c>
    </row>
    <row r="57" spans="1:8">
      <c r="A57" s="17">
        <v>8</v>
      </c>
      <c r="B57" s="17">
        <v>2020</v>
      </c>
      <c r="C57" s="8">
        <v>22.81035698984007</v>
      </c>
      <c r="D57" s="8">
        <v>0</v>
      </c>
      <c r="E57" s="8">
        <f t="shared" si="1"/>
        <v>22.81035698984007</v>
      </c>
      <c r="F57" s="8">
        <f t="shared" si="0"/>
        <v>-22.81035698984007</v>
      </c>
      <c r="G57">
        <v>3.9611760427190887</v>
      </c>
      <c r="H57">
        <v>20.574508582907068</v>
      </c>
    </row>
    <row r="58" spans="1:8">
      <c r="A58" s="17">
        <v>9</v>
      </c>
      <c r="B58" s="17">
        <v>2020</v>
      </c>
      <c r="C58" s="8">
        <v>22.770144047455322</v>
      </c>
      <c r="D58" s="8">
        <v>0</v>
      </c>
      <c r="E58" s="8">
        <f t="shared" si="1"/>
        <v>22.770144047455322</v>
      </c>
      <c r="F58" s="8">
        <f t="shared" si="0"/>
        <v>-22.770144047455322</v>
      </c>
      <c r="G58">
        <v>3.9611760427190887</v>
      </c>
      <c r="H58">
        <v>20.614721525291817</v>
      </c>
    </row>
    <row r="59" spans="1:8">
      <c r="A59" s="17">
        <v>10</v>
      </c>
      <c r="B59" s="17">
        <v>2020</v>
      </c>
      <c r="C59" s="8">
        <v>22.87849880575428</v>
      </c>
      <c r="D59" s="8">
        <v>0</v>
      </c>
      <c r="E59" s="8">
        <f t="shared" si="1"/>
        <v>22.87849880575428</v>
      </c>
      <c r="F59" s="8">
        <f t="shared" si="0"/>
        <v>-22.87849880575428</v>
      </c>
      <c r="G59">
        <v>3.9611760427190887</v>
      </c>
      <c r="H59">
        <v>20.506366766992858</v>
      </c>
    </row>
    <row r="60" spans="1:8">
      <c r="A60" s="17">
        <v>11</v>
      </c>
      <c r="B60" s="17">
        <v>2020</v>
      </c>
      <c r="C60" s="8">
        <v>22.759366515346439</v>
      </c>
      <c r="D60" s="8">
        <v>0</v>
      </c>
      <c r="E60" s="8">
        <f t="shared" si="1"/>
        <v>22.759366515346439</v>
      </c>
      <c r="F60" s="8">
        <f t="shared" si="0"/>
        <v>-22.759366515346439</v>
      </c>
      <c r="G60">
        <v>3.9611760427190887</v>
      </c>
      <c r="H60">
        <v>20.625499057400699</v>
      </c>
    </row>
    <row r="61" spans="1:8">
      <c r="A61" s="17">
        <v>12</v>
      </c>
      <c r="B61" s="17">
        <v>2020</v>
      </c>
      <c r="C61" s="8">
        <v>23.076956050232312</v>
      </c>
      <c r="D61" s="8">
        <v>0</v>
      </c>
      <c r="E61" s="8">
        <f t="shared" si="1"/>
        <v>23.076956050232312</v>
      </c>
      <c r="F61" s="8">
        <f t="shared" si="0"/>
        <v>-23.076956050232312</v>
      </c>
      <c r="G61">
        <v>3.9611760427190887</v>
      </c>
      <c r="H61">
        <v>20.307909522514827</v>
      </c>
    </row>
    <row r="62" spans="1:8">
      <c r="A62" s="17">
        <v>1</v>
      </c>
      <c r="B62" s="17">
        <v>2021</v>
      </c>
      <c r="C62" s="8">
        <v>23.101582131663889</v>
      </c>
      <c r="D62" s="8">
        <v>0</v>
      </c>
      <c r="E62" s="8">
        <f t="shared" si="1"/>
        <v>23.101582131663889</v>
      </c>
      <c r="F62" s="8">
        <f t="shared" si="0"/>
        <v>-23.101582131663889</v>
      </c>
      <c r="G62">
        <v>3.9611760427190887</v>
      </c>
      <c r="H62">
        <v>20.283283441083249</v>
      </c>
    </row>
    <row r="63" spans="1:8">
      <c r="A63" s="17">
        <v>2</v>
      </c>
      <c r="B63" s="17">
        <v>2021</v>
      </c>
      <c r="C63" s="8">
        <v>23.000760057096951</v>
      </c>
      <c r="D63" s="8">
        <v>0</v>
      </c>
      <c r="E63" s="8">
        <f t="shared" si="1"/>
        <v>23.000760057096951</v>
      </c>
      <c r="F63" s="8">
        <f t="shared" si="0"/>
        <v>-23.000760057096951</v>
      </c>
      <c r="G63">
        <v>3.9611760427190887</v>
      </c>
      <c r="H63">
        <v>20.384105515650187</v>
      </c>
    </row>
    <row r="64" spans="1:8">
      <c r="A64" s="17">
        <v>3</v>
      </c>
      <c r="B64" s="17">
        <v>2021</v>
      </c>
      <c r="C64" s="8">
        <v>22.919754735117301</v>
      </c>
      <c r="D64" s="8">
        <v>0</v>
      </c>
      <c r="E64" s="8">
        <f t="shared" si="1"/>
        <v>22.919754735117301</v>
      </c>
      <c r="F64" s="8">
        <f t="shared" si="0"/>
        <v>-22.919754735117301</v>
      </c>
      <c r="G64">
        <v>3.9611760427190887</v>
      </c>
      <c r="H64">
        <v>20.465110837629837</v>
      </c>
    </row>
    <row r="65" spans="1:8">
      <c r="A65" s="17">
        <v>4</v>
      </c>
      <c r="B65" s="17">
        <v>2021</v>
      </c>
      <c r="C65" s="8">
        <v>22.228692571185189</v>
      </c>
      <c r="D65" s="8">
        <v>0</v>
      </c>
      <c r="E65" s="8">
        <f t="shared" si="1"/>
        <v>22.228692571185189</v>
      </c>
      <c r="F65" s="8">
        <f t="shared" si="0"/>
        <v>-22.228692571185189</v>
      </c>
      <c r="G65">
        <v>3.9611760427190887</v>
      </c>
      <c r="H65">
        <v>21.15617300156195</v>
      </c>
    </row>
    <row r="66" spans="1:8">
      <c r="A66" s="17">
        <v>5</v>
      </c>
      <c r="B66" s="17">
        <v>2021</v>
      </c>
      <c r="C66" s="8">
        <v>21.923776921401139</v>
      </c>
      <c r="D66" s="8">
        <v>0</v>
      </c>
      <c r="E66" s="8">
        <f t="shared" si="1"/>
        <v>21.923776921401139</v>
      </c>
      <c r="F66" s="8">
        <f t="shared" si="0"/>
        <v>-21.923776921401139</v>
      </c>
      <c r="G66">
        <v>3.9611760427190887</v>
      </c>
      <c r="H66">
        <v>21.461088651346</v>
      </c>
    </row>
    <row r="67" spans="1:8">
      <c r="A67" s="17">
        <v>6</v>
      </c>
      <c r="B67" s="17">
        <v>2021</v>
      </c>
      <c r="C67" s="8">
        <v>21.927352625285081</v>
      </c>
      <c r="D67" s="8">
        <v>0</v>
      </c>
      <c r="E67" s="8">
        <f t="shared" si="1"/>
        <v>21.927352625285081</v>
      </c>
      <c r="F67" s="8">
        <f t="shared" si="0"/>
        <v>-21.927352625285081</v>
      </c>
      <c r="G67">
        <v>3.9611760427190887</v>
      </c>
      <c r="H67">
        <v>21.457512947462057</v>
      </c>
    </row>
    <row r="68" spans="1:8">
      <c r="A68" s="17">
        <v>7</v>
      </c>
      <c r="B68" s="17">
        <v>2021</v>
      </c>
      <c r="C68" s="8">
        <v>21.698185208668839</v>
      </c>
      <c r="D68" s="8">
        <v>0</v>
      </c>
      <c r="E68" s="8">
        <f t="shared" si="1"/>
        <v>21.698185208668839</v>
      </c>
      <c r="F68" s="8">
        <f t="shared" si="0"/>
        <v>-21.698185208668839</v>
      </c>
      <c r="G68">
        <v>3.9611760427190887</v>
      </c>
      <c r="H68">
        <v>21.686680364078299</v>
      </c>
    </row>
    <row r="69" spans="1:8">
      <c r="A69" s="17">
        <v>8</v>
      </c>
      <c r="B69" s="17">
        <v>2021</v>
      </c>
      <c r="C69" s="8">
        <v>21.24286344892915</v>
      </c>
      <c r="D69" s="8">
        <v>0</v>
      </c>
      <c r="E69" s="8">
        <f t="shared" si="1"/>
        <v>21.24286344892915</v>
      </c>
      <c r="F69" s="8">
        <f t="shared" si="0"/>
        <v>-21.24286344892915</v>
      </c>
      <c r="G69">
        <v>3.9611760427190887</v>
      </c>
      <c r="H69">
        <v>22.142002123817988</v>
      </c>
    </row>
    <row r="70" spans="1:8">
      <c r="A70" s="17">
        <v>9</v>
      </c>
      <c r="B70" s="17">
        <v>2021</v>
      </c>
      <c r="C70" s="8">
        <v>21.294317473190901</v>
      </c>
      <c r="D70" s="8">
        <v>0</v>
      </c>
      <c r="E70" s="8">
        <f t="shared" si="1"/>
        <v>21.294317473190901</v>
      </c>
      <c r="F70" s="8">
        <f t="shared" ref="F70:F86" si="2">E70*-1</f>
        <v>-21.294317473190901</v>
      </c>
      <c r="G70">
        <v>3.9611760427190887</v>
      </c>
      <c r="H70">
        <v>22.090548099556237</v>
      </c>
    </row>
    <row r="71" spans="1:8">
      <c r="A71" s="17">
        <v>10</v>
      </c>
      <c r="B71" s="17">
        <v>2021</v>
      </c>
      <c r="C71" s="8">
        <v>20.989533500649451</v>
      </c>
      <c r="D71" s="8">
        <v>0</v>
      </c>
      <c r="E71" s="8">
        <f t="shared" ref="E71:E86" si="3">C71+D71</f>
        <v>20.989533500649451</v>
      </c>
      <c r="F71" s="8">
        <f t="shared" si="2"/>
        <v>-20.989533500649451</v>
      </c>
      <c r="G71">
        <v>3.9611760427190887</v>
      </c>
      <c r="H71">
        <v>22.395332072097688</v>
      </c>
    </row>
    <row r="72" spans="1:8">
      <c r="A72" s="17">
        <v>11</v>
      </c>
      <c r="B72" s="17">
        <v>2021</v>
      </c>
      <c r="C72" s="8">
        <v>20.265932312608069</v>
      </c>
      <c r="D72" s="8">
        <v>0</v>
      </c>
      <c r="E72" s="8">
        <f t="shared" si="3"/>
        <v>20.265932312608069</v>
      </c>
      <c r="F72" s="8">
        <f t="shared" si="2"/>
        <v>-20.265932312608069</v>
      </c>
      <c r="G72">
        <v>3.9611760427190887</v>
      </c>
      <c r="H72">
        <v>23.11893326013907</v>
      </c>
    </row>
    <row r="73" spans="1:8">
      <c r="A73" s="17">
        <v>12</v>
      </c>
      <c r="B73" s="17">
        <v>2021</v>
      </c>
      <c r="C73" s="8">
        <v>19.712453889468151</v>
      </c>
      <c r="D73" s="8">
        <v>0</v>
      </c>
      <c r="E73" s="8">
        <f t="shared" si="3"/>
        <v>19.712453889468151</v>
      </c>
      <c r="F73" s="8">
        <f t="shared" si="2"/>
        <v>-19.712453889468151</v>
      </c>
      <c r="G73">
        <v>3.9611760427190887</v>
      </c>
      <c r="H73">
        <v>23.672411683278987</v>
      </c>
    </row>
    <row r="74" spans="1:8">
      <c r="A74" s="17">
        <v>1</v>
      </c>
      <c r="B74" s="17">
        <v>2022</v>
      </c>
      <c r="C74" s="8">
        <v>18.994415298644249</v>
      </c>
      <c r="D74" s="8">
        <v>0</v>
      </c>
      <c r="E74" s="8">
        <f t="shared" si="3"/>
        <v>18.994415298644249</v>
      </c>
      <c r="F74" s="8">
        <f t="shared" si="2"/>
        <v>-18.994415298644249</v>
      </c>
      <c r="G74">
        <v>3.9611760427190887</v>
      </c>
      <c r="H74">
        <v>24.390450274102889</v>
      </c>
    </row>
    <row r="75" spans="1:8">
      <c r="A75" s="17">
        <v>2</v>
      </c>
      <c r="B75" s="17">
        <v>2022</v>
      </c>
      <c r="C75" s="8">
        <v>18.943540711592661</v>
      </c>
      <c r="D75" s="8">
        <v>0</v>
      </c>
      <c r="E75" s="8">
        <f t="shared" si="3"/>
        <v>18.943540711592661</v>
      </c>
      <c r="F75" s="8">
        <f t="shared" si="2"/>
        <v>-18.943540711592661</v>
      </c>
      <c r="G75">
        <v>3.9611760427190887</v>
      </c>
      <c r="H75">
        <v>24.441324861154477</v>
      </c>
    </row>
    <row r="76" spans="1:8">
      <c r="A76" s="17">
        <v>3</v>
      </c>
      <c r="B76" s="17">
        <v>2022</v>
      </c>
      <c r="C76" s="8">
        <v>18.00772823691338</v>
      </c>
      <c r="D76" s="8">
        <v>0</v>
      </c>
      <c r="E76" s="8">
        <f t="shared" si="3"/>
        <v>18.00772823691338</v>
      </c>
      <c r="F76" s="8">
        <f t="shared" si="2"/>
        <v>-18.00772823691338</v>
      </c>
      <c r="G76">
        <v>3.9611760427190887</v>
      </c>
      <c r="H76">
        <v>25.377137335833758</v>
      </c>
    </row>
    <row r="77" spans="1:8">
      <c r="A77" s="17">
        <v>4</v>
      </c>
      <c r="B77" s="17">
        <v>2022</v>
      </c>
      <c r="C77" s="8">
        <v>17.385434053486261</v>
      </c>
      <c r="D77" s="8">
        <v>0</v>
      </c>
      <c r="E77" s="8">
        <f t="shared" si="3"/>
        <v>17.385434053486261</v>
      </c>
      <c r="F77" s="8">
        <f t="shared" si="2"/>
        <v>-17.385434053486261</v>
      </c>
      <c r="G77">
        <v>3.9611760427190887</v>
      </c>
      <c r="H77">
        <v>25.999431519260877</v>
      </c>
    </row>
    <row r="78" spans="1:8">
      <c r="A78" s="17">
        <v>5</v>
      </c>
      <c r="B78" s="17">
        <v>2022</v>
      </c>
      <c r="C78" s="8">
        <v>13.936392003760499</v>
      </c>
      <c r="D78" s="8">
        <v>0</v>
      </c>
      <c r="E78" s="8">
        <f t="shared" si="3"/>
        <v>13.936392003760499</v>
      </c>
      <c r="F78" s="8">
        <f t="shared" si="2"/>
        <v>-13.936392003760499</v>
      </c>
      <c r="G78">
        <v>3.9611760427190887</v>
      </c>
      <c r="H78">
        <v>29.448473568986639</v>
      </c>
    </row>
    <row r="79" spans="1:8">
      <c r="A79" s="17">
        <v>6</v>
      </c>
      <c r="B79" s="17">
        <v>2022</v>
      </c>
      <c r="C79" s="8">
        <v>13.53855041526818</v>
      </c>
      <c r="D79" s="8">
        <v>0</v>
      </c>
      <c r="E79" s="8">
        <f t="shared" si="3"/>
        <v>13.53855041526818</v>
      </c>
      <c r="F79" s="8">
        <f t="shared" si="2"/>
        <v>-13.53855041526818</v>
      </c>
      <c r="G79">
        <v>3.9611760427190887</v>
      </c>
      <c r="H79">
        <v>29.846315157478958</v>
      </c>
    </row>
    <row r="80" spans="1:8">
      <c r="A80" s="17">
        <v>7</v>
      </c>
      <c r="B80" s="17">
        <v>2022</v>
      </c>
      <c r="C80" s="8">
        <v>13.235794472962271</v>
      </c>
      <c r="D80" s="8">
        <v>0</v>
      </c>
      <c r="E80" s="8">
        <f t="shared" si="3"/>
        <v>13.235794472962271</v>
      </c>
      <c r="F80" s="8">
        <f t="shared" si="2"/>
        <v>-13.235794472962271</v>
      </c>
      <c r="G80">
        <v>3.9611760427190887</v>
      </c>
      <c r="H80">
        <v>30.149071099784869</v>
      </c>
    </row>
    <row r="81" spans="1:8">
      <c r="A81" s="17">
        <v>8</v>
      </c>
      <c r="B81" s="17">
        <v>2022</v>
      </c>
      <c r="C81" s="8">
        <v>11.209792267655819</v>
      </c>
      <c r="D81" s="8">
        <v>0</v>
      </c>
      <c r="E81" s="8">
        <f t="shared" si="3"/>
        <v>11.209792267655819</v>
      </c>
      <c r="F81" s="8">
        <f t="shared" si="2"/>
        <v>-11.209792267655819</v>
      </c>
      <c r="G81">
        <v>3.9611760427190887</v>
      </c>
      <c r="H81">
        <v>32.175073305091317</v>
      </c>
    </row>
    <row r="82" spans="1:8">
      <c r="A82" s="17">
        <v>9</v>
      </c>
      <c r="B82" s="17">
        <v>2022</v>
      </c>
      <c r="C82" s="8">
        <v>11.90424776402641</v>
      </c>
      <c r="D82" s="8">
        <v>0</v>
      </c>
      <c r="E82" s="8">
        <f t="shared" si="3"/>
        <v>11.90424776402641</v>
      </c>
      <c r="F82" s="8">
        <f t="shared" si="2"/>
        <v>-11.90424776402641</v>
      </c>
      <c r="G82">
        <v>3.9611760427190887</v>
      </c>
      <c r="H82">
        <v>31.48061780872073</v>
      </c>
    </row>
    <row r="83" spans="1:8">
      <c r="A83" s="17">
        <v>10</v>
      </c>
      <c r="B83" s="17">
        <v>2022</v>
      </c>
      <c r="C83" s="8">
        <v>11.68840740324373</v>
      </c>
      <c r="D83" s="8">
        <v>0</v>
      </c>
      <c r="E83" s="8">
        <f t="shared" si="3"/>
        <v>11.68840740324373</v>
      </c>
      <c r="F83" s="8">
        <f t="shared" si="2"/>
        <v>-11.68840740324373</v>
      </c>
      <c r="G83">
        <v>3.9611760427190887</v>
      </c>
      <c r="H83">
        <v>31.696458169503408</v>
      </c>
    </row>
    <row r="84" spans="1:8">
      <c r="A84" s="17">
        <v>11</v>
      </c>
      <c r="B84" s="17">
        <v>2022</v>
      </c>
      <c r="C84" s="8">
        <v>9.7516385283011253</v>
      </c>
      <c r="D84" s="8">
        <v>0</v>
      </c>
      <c r="E84" s="8">
        <f t="shared" si="3"/>
        <v>9.7516385283011253</v>
      </c>
      <c r="F84" s="8">
        <f t="shared" si="2"/>
        <v>-9.7516385283011253</v>
      </c>
      <c r="G84">
        <v>3.9611760427190887</v>
      </c>
      <c r="H84">
        <v>33.633227044446016</v>
      </c>
    </row>
    <row r="85" spans="1:8">
      <c r="A85" s="17">
        <v>12</v>
      </c>
      <c r="B85" s="17">
        <v>2022</v>
      </c>
      <c r="C85" s="8">
        <v>9.8133485911826153</v>
      </c>
      <c r="D85" s="8">
        <v>0</v>
      </c>
      <c r="E85" s="8">
        <f t="shared" si="3"/>
        <v>9.8133485911826153</v>
      </c>
      <c r="F85" s="8">
        <f t="shared" si="2"/>
        <v>-9.8133485911826153</v>
      </c>
      <c r="G85">
        <v>3.9611760427190887</v>
      </c>
      <c r="H85">
        <v>33.571516981564521</v>
      </c>
    </row>
    <row r="86" spans="1:8">
      <c r="A86" s="17">
        <v>1</v>
      </c>
      <c r="B86" s="17">
        <v>2023</v>
      </c>
      <c r="C86" s="8">
        <v>9.2957952750722992</v>
      </c>
      <c r="D86" s="8">
        <v>0</v>
      </c>
      <c r="E86" s="8">
        <f t="shared" si="3"/>
        <v>9.2957952750722992</v>
      </c>
      <c r="F86" s="8">
        <f t="shared" si="2"/>
        <v>-9.2957952750722992</v>
      </c>
      <c r="G86">
        <v>3.9611760427190887</v>
      </c>
      <c r="H86">
        <v>34.089070297674837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/>
  </sheetPr>
  <dimension ref="A1:H86"/>
  <sheetViews>
    <sheetView topLeftCell="A52" workbookViewId="0">
      <selection activeCell="H6" sqref="H6:H86"/>
    </sheetView>
  </sheetViews>
  <sheetFormatPr defaultRowHeight="15.75"/>
  <cols>
    <col min="7" max="8" width="11.875" bestFit="1" customWidth="1"/>
  </cols>
  <sheetData>
    <row r="1" spans="1:8">
      <c r="A1" s="17" t="s">
        <v>533</v>
      </c>
      <c r="B1" s="17">
        <v>-39.423689198596115</v>
      </c>
      <c r="C1" s="8"/>
      <c r="D1" s="8"/>
      <c r="E1" s="8"/>
      <c r="F1" s="8"/>
    </row>
    <row r="2" spans="1:8">
      <c r="A2" s="17" t="s">
        <v>521</v>
      </c>
      <c r="B2" s="17">
        <f>Results!F43</f>
        <v>3.9611760427190887</v>
      </c>
      <c r="C2" s="8"/>
      <c r="D2" s="8"/>
      <c r="E2" s="8"/>
      <c r="F2" s="8"/>
    </row>
    <row r="3" spans="1:8">
      <c r="A3" s="17"/>
      <c r="B3" s="17"/>
      <c r="C3" s="8"/>
      <c r="D3" s="8"/>
      <c r="E3" s="8"/>
      <c r="F3" s="8"/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B5" s="17"/>
      <c r="C5" s="8"/>
      <c r="D5" s="8"/>
      <c r="E5" s="8"/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0</v>
      </c>
      <c r="D6" s="8">
        <v>18.554235818181802</v>
      </c>
      <c r="E6" s="8">
        <f>C6+D6</f>
        <v>18.554235818181802</v>
      </c>
      <c r="F6" s="8">
        <f t="shared" ref="F6:F69" si="0">E6*-1</f>
        <v>-18.554235818181802</v>
      </c>
      <c r="G6">
        <f t="dataTable" ref="G6:G86" dt2D="0" dtr="0" r1="B1"/>
        <v>3.9611760427190887</v>
      </c>
      <c r="H6">
        <v>24.830629754565336</v>
      </c>
    </row>
    <row r="7" spans="1:8">
      <c r="A7" s="17">
        <v>6</v>
      </c>
      <c r="B7" s="17">
        <v>2016</v>
      </c>
      <c r="C7" s="8">
        <v>0</v>
      </c>
      <c r="D7" s="8">
        <v>16.863757012987008</v>
      </c>
      <c r="E7" s="8">
        <f t="shared" ref="E7:E70" si="1">C7+D7</f>
        <v>16.863757012987008</v>
      </c>
      <c r="F7" s="8">
        <f t="shared" si="0"/>
        <v>-16.863757012987008</v>
      </c>
      <c r="G7">
        <v>3.9611760427190887</v>
      </c>
      <c r="H7">
        <v>26.52110855976013</v>
      </c>
    </row>
    <row r="8" spans="1:8">
      <c r="A8" s="17">
        <v>7</v>
      </c>
      <c r="B8" s="17">
        <v>2016</v>
      </c>
      <c r="C8" s="8">
        <v>0</v>
      </c>
      <c r="D8" s="8">
        <v>18.25624789772727</v>
      </c>
      <c r="E8" s="8">
        <f t="shared" si="1"/>
        <v>18.25624789772727</v>
      </c>
      <c r="F8" s="8">
        <f t="shared" si="0"/>
        <v>-18.25624789772727</v>
      </c>
      <c r="G8">
        <v>3.9611760427190887</v>
      </c>
      <c r="H8">
        <v>25.128617675019868</v>
      </c>
    </row>
    <row r="9" spans="1:8">
      <c r="A9" s="17">
        <v>8</v>
      </c>
      <c r="B9" s="17">
        <v>2016</v>
      </c>
      <c r="C9" s="8">
        <v>0</v>
      </c>
      <c r="D9" s="8">
        <v>21.349817272727272</v>
      </c>
      <c r="E9" s="8">
        <f t="shared" si="1"/>
        <v>21.349817272727272</v>
      </c>
      <c r="F9" s="8">
        <f t="shared" si="0"/>
        <v>-21.349817272727272</v>
      </c>
      <c r="G9">
        <v>3.9611760427190887</v>
      </c>
      <c r="H9">
        <v>22.035048300019866</v>
      </c>
    </row>
    <row r="10" spans="1:8">
      <c r="A10" s="17">
        <v>9</v>
      </c>
      <c r="B10" s="17">
        <v>2016</v>
      </c>
      <c r="C10" s="8">
        <v>0</v>
      </c>
      <c r="D10" s="8">
        <v>19.885133518299881</v>
      </c>
      <c r="E10" s="8">
        <f t="shared" si="1"/>
        <v>19.885133518299881</v>
      </c>
      <c r="F10" s="8">
        <f t="shared" si="0"/>
        <v>-19.885133518299881</v>
      </c>
      <c r="G10">
        <v>3.9611760427190887</v>
      </c>
      <c r="H10">
        <v>23.499732054447257</v>
      </c>
    </row>
    <row r="11" spans="1:8">
      <c r="A11" s="17">
        <v>10</v>
      </c>
      <c r="B11" s="17">
        <v>2016</v>
      </c>
      <c r="C11" s="8">
        <v>0</v>
      </c>
      <c r="D11" s="8">
        <v>21.96652622195986</v>
      </c>
      <c r="E11" s="8">
        <f t="shared" si="1"/>
        <v>21.96652622195986</v>
      </c>
      <c r="F11" s="8">
        <f t="shared" si="0"/>
        <v>-21.96652622195986</v>
      </c>
      <c r="G11">
        <v>3.9611760427190887</v>
      </c>
      <c r="H11">
        <v>21.418339350787278</v>
      </c>
    </row>
    <row r="12" spans="1:8">
      <c r="A12" s="17">
        <v>11</v>
      </c>
      <c r="B12" s="17">
        <v>2016</v>
      </c>
      <c r="C12" s="8">
        <v>0</v>
      </c>
      <c r="D12" s="8">
        <v>20.7467853364817</v>
      </c>
      <c r="E12" s="8">
        <f t="shared" si="1"/>
        <v>20.7467853364817</v>
      </c>
      <c r="F12" s="8">
        <f t="shared" si="0"/>
        <v>-20.7467853364817</v>
      </c>
      <c r="G12">
        <v>3.9611760427190887</v>
      </c>
      <c r="H12">
        <v>22.638080236265438</v>
      </c>
    </row>
    <row r="13" spans="1:8">
      <c r="A13" s="17">
        <v>12</v>
      </c>
      <c r="B13" s="17">
        <v>2016</v>
      </c>
      <c r="C13" s="8">
        <v>0</v>
      </c>
      <c r="D13" s="8">
        <v>26.942005957792212</v>
      </c>
      <c r="E13" s="8">
        <f t="shared" si="1"/>
        <v>26.942005957792212</v>
      </c>
      <c r="F13" s="8">
        <f t="shared" si="0"/>
        <v>-26.942005957792212</v>
      </c>
      <c r="G13">
        <v>3.9611760427190887</v>
      </c>
      <c r="H13">
        <v>16.442859614954926</v>
      </c>
    </row>
    <row r="14" spans="1:8">
      <c r="A14" s="17">
        <v>1</v>
      </c>
      <c r="B14" s="17">
        <v>2017</v>
      </c>
      <c r="C14" s="8">
        <v>0</v>
      </c>
      <c r="D14" s="8">
        <v>26.77275292207792</v>
      </c>
      <c r="E14" s="8">
        <f t="shared" si="1"/>
        <v>26.77275292207792</v>
      </c>
      <c r="F14" s="8">
        <f t="shared" si="0"/>
        <v>-26.77275292207792</v>
      </c>
      <c r="G14">
        <v>3.9611760427190887</v>
      </c>
      <c r="H14">
        <v>16.612112650669218</v>
      </c>
    </row>
    <row r="15" spans="1:8">
      <c r="A15" s="17">
        <v>2</v>
      </c>
      <c r="B15" s="17">
        <v>2017</v>
      </c>
      <c r="C15" s="8">
        <v>0</v>
      </c>
      <c r="D15" s="8">
        <v>27.080485714285711</v>
      </c>
      <c r="E15" s="8">
        <f t="shared" si="1"/>
        <v>27.080485714285711</v>
      </c>
      <c r="F15" s="8">
        <f t="shared" si="0"/>
        <v>-27.080485714285711</v>
      </c>
      <c r="G15">
        <v>3.9611760427190887</v>
      </c>
      <c r="H15">
        <v>16.304379858461427</v>
      </c>
    </row>
    <row r="16" spans="1:8">
      <c r="A16" s="17">
        <v>3</v>
      </c>
      <c r="B16" s="17">
        <v>2017</v>
      </c>
      <c r="C16" s="8">
        <v>0</v>
      </c>
      <c r="D16" s="8">
        <v>25.636193142857142</v>
      </c>
      <c r="E16" s="8">
        <f t="shared" si="1"/>
        <v>25.636193142857142</v>
      </c>
      <c r="F16" s="8">
        <f t="shared" si="0"/>
        <v>-25.636193142857142</v>
      </c>
      <c r="G16">
        <v>3.9611760427190887</v>
      </c>
      <c r="H16">
        <v>17.748672429889996</v>
      </c>
    </row>
    <row r="17" spans="1:8">
      <c r="A17" s="17">
        <v>4</v>
      </c>
      <c r="B17" s="17">
        <v>2017</v>
      </c>
      <c r="C17" s="8">
        <v>0</v>
      </c>
      <c r="D17" s="8">
        <v>28.926882467532469</v>
      </c>
      <c r="E17" s="8">
        <f t="shared" si="1"/>
        <v>28.926882467532469</v>
      </c>
      <c r="F17" s="8">
        <f t="shared" si="0"/>
        <v>-28.926882467532469</v>
      </c>
      <c r="G17">
        <v>3.9611760427190887</v>
      </c>
      <c r="H17">
        <v>14.457983105214669</v>
      </c>
    </row>
    <row r="18" spans="1:8">
      <c r="A18" s="17">
        <v>5</v>
      </c>
      <c r="B18" s="17">
        <v>2017</v>
      </c>
      <c r="C18" s="8">
        <v>0</v>
      </c>
      <c r="D18" s="8">
        <v>29.866866269185358</v>
      </c>
      <c r="E18" s="8">
        <f t="shared" si="1"/>
        <v>29.866866269185358</v>
      </c>
      <c r="F18" s="8">
        <f t="shared" si="0"/>
        <v>-29.866866269185358</v>
      </c>
      <c r="G18">
        <v>3.9611760427190887</v>
      </c>
      <c r="H18">
        <v>13.51799930356178</v>
      </c>
    </row>
    <row r="19" spans="1:8">
      <c r="A19" s="17">
        <v>6</v>
      </c>
      <c r="B19" s="17">
        <v>2017</v>
      </c>
      <c r="C19" s="8">
        <v>0</v>
      </c>
      <c r="D19" s="8">
        <v>30.465546428571429</v>
      </c>
      <c r="E19" s="8">
        <f t="shared" si="1"/>
        <v>30.465546428571429</v>
      </c>
      <c r="F19" s="8">
        <f t="shared" si="0"/>
        <v>-30.465546428571429</v>
      </c>
      <c r="G19">
        <v>3.9611760427190887</v>
      </c>
      <c r="H19">
        <v>12.919319144175709</v>
      </c>
    </row>
    <row r="20" spans="1:8">
      <c r="A20" s="17">
        <v>7</v>
      </c>
      <c r="B20" s="17">
        <v>2017</v>
      </c>
      <c r="C20" s="8">
        <v>0</v>
      </c>
      <c r="D20" s="8">
        <v>31.265651688311689</v>
      </c>
      <c r="E20" s="8">
        <f t="shared" si="1"/>
        <v>31.265651688311689</v>
      </c>
      <c r="F20" s="8">
        <f t="shared" si="0"/>
        <v>-31.265651688311689</v>
      </c>
      <c r="G20">
        <v>3.9611760427190887</v>
      </c>
      <c r="H20">
        <v>12.11921388443545</v>
      </c>
    </row>
    <row r="21" spans="1:8">
      <c r="A21" s="17">
        <v>8</v>
      </c>
      <c r="B21" s="17">
        <v>2017</v>
      </c>
      <c r="C21" s="8">
        <v>0</v>
      </c>
      <c r="D21" s="8">
        <v>33.327461396103899</v>
      </c>
      <c r="E21" s="8">
        <f t="shared" si="1"/>
        <v>33.327461396103899</v>
      </c>
      <c r="F21" s="8">
        <f t="shared" si="0"/>
        <v>-33.327461396103899</v>
      </c>
      <c r="G21">
        <v>3.9611760427190887</v>
      </c>
      <c r="H21">
        <v>10.057404176643239</v>
      </c>
    </row>
    <row r="22" spans="1:8">
      <c r="A22" s="17">
        <v>9</v>
      </c>
      <c r="B22" s="17">
        <v>2017</v>
      </c>
      <c r="C22" s="8">
        <v>0</v>
      </c>
      <c r="D22" s="8">
        <v>32.756446103896103</v>
      </c>
      <c r="E22" s="8">
        <f t="shared" si="1"/>
        <v>32.756446103896103</v>
      </c>
      <c r="F22" s="8">
        <f t="shared" si="0"/>
        <v>-32.756446103896103</v>
      </c>
      <c r="G22">
        <v>3.9611760427190887</v>
      </c>
      <c r="H22">
        <v>10.628419468851035</v>
      </c>
    </row>
    <row r="23" spans="1:8">
      <c r="A23" s="17">
        <v>10</v>
      </c>
      <c r="B23" s="17">
        <v>2017</v>
      </c>
      <c r="C23" s="8">
        <v>0</v>
      </c>
      <c r="D23" s="8">
        <v>33.804447224025978</v>
      </c>
      <c r="E23" s="8">
        <f t="shared" si="1"/>
        <v>33.804447224025978</v>
      </c>
      <c r="F23" s="8">
        <f t="shared" si="0"/>
        <v>-33.804447224025978</v>
      </c>
      <c r="G23">
        <v>3.9611760427190887</v>
      </c>
      <c r="H23">
        <v>9.5804183487211603</v>
      </c>
    </row>
    <row r="24" spans="1:8">
      <c r="A24" s="17">
        <v>11</v>
      </c>
      <c r="B24" s="17">
        <v>2017</v>
      </c>
      <c r="C24" s="8">
        <v>0</v>
      </c>
      <c r="D24" s="8">
        <v>34.044039183673469</v>
      </c>
      <c r="E24" s="8">
        <f t="shared" si="1"/>
        <v>34.044039183673469</v>
      </c>
      <c r="F24" s="8">
        <f t="shared" si="0"/>
        <v>-34.044039183673469</v>
      </c>
      <c r="G24">
        <v>3.9611760427190887</v>
      </c>
      <c r="H24">
        <v>9.3408263890736691</v>
      </c>
    </row>
    <row r="25" spans="1:8">
      <c r="A25" s="17">
        <v>12</v>
      </c>
      <c r="B25" s="17">
        <v>2017</v>
      </c>
      <c r="C25" s="8">
        <v>0</v>
      </c>
      <c r="D25" s="8">
        <v>33.716323742621007</v>
      </c>
      <c r="E25" s="8">
        <f t="shared" si="1"/>
        <v>33.716323742621007</v>
      </c>
      <c r="F25" s="8">
        <f t="shared" si="0"/>
        <v>-33.716323742621007</v>
      </c>
      <c r="G25">
        <v>3.9611760427190887</v>
      </c>
      <c r="H25">
        <v>9.6685418301261308</v>
      </c>
    </row>
    <row r="26" spans="1:8">
      <c r="A26" s="17">
        <v>1</v>
      </c>
      <c r="B26" s="17">
        <v>2018</v>
      </c>
      <c r="C26" s="8">
        <v>0</v>
      </c>
      <c r="D26" s="8">
        <v>33.754868051948051</v>
      </c>
      <c r="E26" s="8">
        <f t="shared" si="1"/>
        <v>33.754868051948051</v>
      </c>
      <c r="F26" s="8">
        <f t="shared" si="0"/>
        <v>-33.754868051948051</v>
      </c>
      <c r="G26">
        <v>3.9611760427190887</v>
      </c>
      <c r="H26">
        <v>9.6299975207990869</v>
      </c>
    </row>
    <row r="27" spans="1:8">
      <c r="A27" s="17">
        <v>2</v>
      </c>
      <c r="B27" s="17">
        <v>2018</v>
      </c>
      <c r="C27" s="8">
        <v>0</v>
      </c>
      <c r="D27" s="8">
        <v>30.639928344155841</v>
      </c>
      <c r="E27" s="8">
        <f t="shared" si="1"/>
        <v>30.639928344155841</v>
      </c>
      <c r="F27" s="8">
        <f t="shared" si="0"/>
        <v>-30.639928344155841</v>
      </c>
      <c r="G27">
        <v>3.9611760427190887</v>
      </c>
      <c r="H27">
        <v>12.744937228591297</v>
      </c>
    </row>
    <row r="28" spans="1:8">
      <c r="A28" s="17">
        <v>3</v>
      </c>
      <c r="B28" s="17">
        <v>2018</v>
      </c>
      <c r="C28" s="8">
        <v>0</v>
      </c>
      <c r="D28" s="8">
        <v>29.23051215584416</v>
      </c>
      <c r="E28" s="8">
        <f t="shared" si="1"/>
        <v>29.23051215584416</v>
      </c>
      <c r="F28" s="8">
        <f t="shared" si="0"/>
        <v>-29.23051215584416</v>
      </c>
      <c r="G28">
        <v>3.9611760427190887</v>
      </c>
      <c r="H28">
        <v>14.154353416902978</v>
      </c>
    </row>
    <row r="29" spans="1:8">
      <c r="A29" s="17">
        <v>4</v>
      </c>
      <c r="B29" s="17">
        <v>2018</v>
      </c>
      <c r="C29" s="8">
        <v>0</v>
      </c>
      <c r="D29" s="8">
        <v>30.57185412042503</v>
      </c>
      <c r="E29" s="8">
        <f t="shared" si="1"/>
        <v>30.57185412042503</v>
      </c>
      <c r="F29" s="8">
        <f t="shared" si="0"/>
        <v>-30.57185412042503</v>
      </c>
      <c r="G29">
        <v>3.9611760427190887</v>
      </c>
      <c r="H29">
        <v>12.813011452322108</v>
      </c>
    </row>
    <row r="30" spans="1:8">
      <c r="A30" s="17">
        <v>5</v>
      </c>
      <c r="B30" s="17">
        <v>2018</v>
      </c>
      <c r="C30" s="8">
        <v>0</v>
      </c>
      <c r="D30" s="8">
        <v>29.665441168831169</v>
      </c>
      <c r="E30" s="8">
        <f t="shared" si="1"/>
        <v>29.665441168831169</v>
      </c>
      <c r="F30" s="8">
        <f t="shared" si="0"/>
        <v>-29.665441168831169</v>
      </c>
      <c r="G30">
        <v>3.9611760427190887</v>
      </c>
      <c r="H30">
        <v>13.719424403915969</v>
      </c>
    </row>
    <row r="31" spans="1:8">
      <c r="A31" s="17">
        <v>6</v>
      </c>
      <c r="B31" s="17">
        <v>2018</v>
      </c>
      <c r="C31" s="8">
        <v>0</v>
      </c>
      <c r="D31" s="8">
        <v>28.99526753246753</v>
      </c>
      <c r="E31" s="8">
        <f t="shared" si="1"/>
        <v>28.99526753246753</v>
      </c>
      <c r="F31" s="8">
        <f t="shared" si="0"/>
        <v>-28.99526753246753</v>
      </c>
      <c r="G31">
        <v>3.9611760427190887</v>
      </c>
      <c r="H31">
        <v>14.389598040279608</v>
      </c>
    </row>
    <row r="32" spans="1:8">
      <c r="A32" s="17">
        <v>7</v>
      </c>
      <c r="B32" s="17">
        <v>2018</v>
      </c>
      <c r="C32" s="8">
        <v>0</v>
      </c>
      <c r="D32" s="8">
        <v>27.92846051948052</v>
      </c>
      <c r="E32" s="8">
        <f t="shared" si="1"/>
        <v>27.92846051948052</v>
      </c>
      <c r="F32" s="8">
        <f t="shared" si="0"/>
        <v>-27.92846051948052</v>
      </c>
      <c r="G32">
        <v>3.9611760427190887</v>
      </c>
      <c r="H32">
        <v>15.456405053266618</v>
      </c>
    </row>
    <row r="33" spans="1:8">
      <c r="A33" s="17">
        <v>8</v>
      </c>
      <c r="B33" s="17">
        <v>2018</v>
      </c>
      <c r="C33" s="8">
        <v>0</v>
      </c>
      <c r="D33" s="8">
        <v>26.319546446280992</v>
      </c>
      <c r="E33" s="8">
        <f t="shared" si="1"/>
        <v>26.319546446280992</v>
      </c>
      <c r="F33" s="8">
        <f t="shared" si="0"/>
        <v>-26.319546446280992</v>
      </c>
      <c r="G33">
        <v>3.9611760427190887</v>
      </c>
      <c r="H33">
        <v>17.065319126466147</v>
      </c>
    </row>
    <row r="34" spans="1:8">
      <c r="A34" s="17">
        <v>9</v>
      </c>
      <c r="B34" s="17">
        <v>2018</v>
      </c>
      <c r="C34" s="8">
        <v>0</v>
      </c>
      <c r="D34" s="8">
        <v>26.957392597402599</v>
      </c>
      <c r="E34" s="8">
        <f t="shared" si="1"/>
        <v>26.957392597402599</v>
      </c>
      <c r="F34" s="8">
        <f t="shared" si="0"/>
        <v>-26.957392597402599</v>
      </c>
      <c r="G34">
        <v>3.9611760427190887</v>
      </c>
      <c r="H34">
        <v>16.427472975344539</v>
      </c>
    </row>
    <row r="35" spans="1:8">
      <c r="A35" s="17">
        <v>10</v>
      </c>
      <c r="B35" s="17">
        <v>2018</v>
      </c>
      <c r="C35" s="8">
        <v>0</v>
      </c>
      <c r="D35" s="8">
        <v>27.338981259740262</v>
      </c>
      <c r="E35" s="8">
        <f t="shared" si="1"/>
        <v>27.338981259740262</v>
      </c>
      <c r="F35" s="8">
        <f t="shared" si="0"/>
        <v>-27.338981259740262</v>
      </c>
      <c r="G35">
        <v>3.9611760427190887</v>
      </c>
      <c r="H35">
        <v>16.045884313006876</v>
      </c>
    </row>
    <row r="36" spans="1:8">
      <c r="A36" s="17">
        <v>11</v>
      </c>
      <c r="B36" s="17">
        <v>2018</v>
      </c>
      <c r="C36" s="8">
        <v>0</v>
      </c>
      <c r="D36" s="8">
        <v>27.326671948051949</v>
      </c>
      <c r="E36" s="8">
        <f t="shared" si="1"/>
        <v>27.326671948051949</v>
      </c>
      <c r="F36" s="8">
        <f t="shared" si="0"/>
        <v>-27.326671948051949</v>
      </c>
      <c r="G36">
        <v>3.9611760427190887</v>
      </c>
      <c r="H36">
        <v>16.058193624695189</v>
      </c>
    </row>
    <row r="37" spans="1:8">
      <c r="A37" s="17">
        <v>12</v>
      </c>
      <c r="B37" s="17">
        <v>2018</v>
      </c>
      <c r="C37" s="8">
        <v>0</v>
      </c>
      <c r="D37" s="8">
        <v>26.254003358070499</v>
      </c>
      <c r="E37" s="8">
        <f t="shared" si="1"/>
        <v>26.254003358070499</v>
      </c>
      <c r="F37" s="8">
        <f t="shared" si="0"/>
        <v>-26.254003358070499</v>
      </c>
      <c r="G37">
        <v>3.9611760427190887</v>
      </c>
      <c r="H37">
        <v>17.13086221467664</v>
      </c>
    </row>
    <row r="38" spans="1:8">
      <c r="A38" s="17">
        <v>1</v>
      </c>
      <c r="B38" s="17">
        <v>2019</v>
      </c>
      <c r="C38" s="8">
        <v>0</v>
      </c>
      <c r="D38" s="8">
        <v>24.326277224025979</v>
      </c>
      <c r="E38" s="8">
        <f t="shared" si="1"/>
        <v>24.326277224025979</v>
      </c>
      <c r="F38" s="8">
        <f t="shared" si="0"/>
        <v>-24.326277224025979</v>
      </c>
      <c r="G38">
        <v>3.9611760427190887</v>
      </c>
      <c r="H38">
        <v>19.058588348721159</v>
      </c>
    </row>
    <row r="39" spans="1:8">
      <c r="A39" s="17">
        <v>2</v>
      </c>
      <c r="B39" s="17">
        <v>2019</v>
      </c>
      <c r="C39" s="8">
        <v>0</v>
      </c>
      <c r="D39" s="8">
        <v>22.095214480519481</v>
      </c>
      <c r="E39" s="8">
        <f t="shared" si="1"/>
        <v>22.095214480519481</v>
      </c>
      <c r="F39" s="8">
        <f t="shared" si="0"/>
        <v>-22.095214480519481</v>
      </c>
      <c r="G39">
        <v>3.9611760427190887</v>
      </c>
      <c r="H39">
        <v>21.289651092227658</v>
      </c>
    </row>
    <row r="40" spans="1:8">
      <c r="A40" s="17">
        <v>3</v>
      </c>
      <c r="B40" s="17">
        <v>2019</v>
      </c>
      <c r="C40" s="8">
        <v>0</v>
      </c>
      <c r="D40" s="8">
        <v>20.944767272727269</v>
      </c>
      <c r="E40" s="8">
        <f t="shared" si="1"/>
        <v>20.944767272727269</v>
      </c>
      <c r="F40" s="8">
        <f t="shared" si="0"/>
        <v>-20.944767272727269</v>
      </c>
      <c r="G40">
        <v>3.9611760427190887</v>
      </c>
      <c r="H40">
        <v>22.440098300019869</v>
      </c>
    </row>
    <row r="41" spans="1:8">
      <c r="A41" s="17">
        <v>4</v>
      </c>
      <c r="B41" s="17">
        <v>2019</v>
      </c>
      <c r="C41" s="8">
        <v>0</v>
      </c>
      <c r="D41" s="8">
        <v>20.662058905380331</v>
      </c>
      <c r="E41" s="8">
        <f t="shared" si="1"/>
        <v>20.662058905380331</v>
      </c>
      <c r="F41" s="8">
        <f t="shared" si="0"/>
        <v>-20.662058905380331</v>
      </c>
      <c r="G41">
        <v>3.9611760427190887</v>
      </c>
      <c r="H41">
        <v>22.722806667366807</v>
      </c>
    </row>
    <row r="42" spans="1:8">
      <c r="A42" s="17">
        <v>5</v>
      </c>
      <c r="B42" s="17">
        <v>2019</v>
      </c>
      <c r="C42" s="8">
        <v>0</v>
      </c>
      <c r="D42" s="8">
        <v>17.786955389610391</v>
      </c>
      <c r="E42" s="8">
        <f t="shared" si="1"/>
        <v>17.786955389610391</v>
      </c>
      <c r="F42" s="8">
        <f t="shared" si="0"/>
        <v>-17.786955389610391</v>
      </c>
      <c r="G42">
        <v>3.9611760427190887</v>
      </c>
      <c r="H42">
        <v>25.597910183136747</v>
      </c>
    </row>
    <row r="43" spans="1:8">
      <c r="A43" s="17">
        <v>6</v>
      </c>
      <c r="B43" s="17">
        <v>2019</v>
      </c>
      <c r="C43" s="8">
        <v>0</v>
      </c>
      <c r="D43" s="8">
        <v>15.509732727272731</v>
      </c>
      <c r="E43" s="8">
        <f t="shared" si="1"/>
        <v>15.509732727272731</v>
      </c>
      <c r="F43" s="8">
        <f t="shared" si="0"/>
        <v>-15.509732727272731</v>
      </c>
      <c r="G43">
        <v>3.9611760427190887</v>
      </c>
      <c r="H43">
        <v>27.875132845474408</v>
      </c>
    </row>
    <row r="44" spans="1:8">
      <c r="A44" s="17">
        <v>7</v>
      </c>
      <c r="B44" s="17">
        <v>2019</v>
      </c>
      <c r="C44" s="8">
        <v>0</v>
      </c>
      <c r="D44" s="8">
        <v>15.12286864564007</v>
      </c>
      <c r="E44" s="8">
        <f t="shared" si="1"/>
        <v>15.12286864564007</v>
      </c>
      <c r="F44" s="8">
        <f t="shared" si="0"/>
        <v>-15.12286864564007</v>
      </c>
      <c r="G44">
        <v>3.9611760427190887</v>
      </c>
      <c r="H44">
        <v>28.26199692710707</v>
      </c>
    </row>
    <row r="45" spans="1:8">
      <c r="A45" s="17">
        <v>8</v>
      </c>
      <c r="B45" s="17">
        <v>2019</v>
      </c>
      <c r="C45" s="8">
        <v>0</v>
      </c>
      <c r="D45" s="8">
        <v>9.2524992857142845</v>
      </c>
      <c r="E45" s="8">
        <f t="shared" si="1"/>
        <v>9.2524992857142845</v>
      </c>
      <c r="F45" s="8">
        <f t="shared" si="0"/>
        <v>-9.2524992857142845</v>
      </c>
      <c r="G45">
        <v>3.9611760427190887</v>
      </c>
      <c r="H45">
        <v>34.132366287032852</v>
      </c>
    </row>
    <row r="46" spans="1:8">
      <c r="A46" s="17">
        <v>9</v>
      </c>
      <c r="B46" s="17">
        <v>2019</v>
      </c>
      <c r="C46" s="8">
        <v>0</v>
      </c>
      <c r="D46" s="8">
        <v>9.4781700000000004</v>
      </c>
      <c r="E46" s="8">
        <f t="shared" si="1"/>
        <v>9.4781700000000004</v>
      </c>
      <c r="F46" s="8">
        <f t="shared" si="0"/>
        <v>-9.4781700000000004</v>
      </c>
      <c r="G46">
        <v>3.9611760427190887</v>
      </c>
      <c r="H46">
        <v>33.90669557274714</v>
      </c>
    </row>
    <row r="47" spans="1:8">
      <c r="A47" s="17">
        <v>10</v>
      </c>
      <c r="B47" s="17">
        <v>2019</v>
      </c>
      <c r="C47" s="8">
        <v>0</v>
      </c>
      <c r="D47" s="8">
        <v>9.3023226901669762</v>
      </c>
      <c r="E47" s="8">
        <f t="shared" si="1"/>
        <v>9.3023226901669762</v>
      </c>
      <c r="F47" s="8">
        <f t="shared" si="0"/>
        <v>-9.3023226901669762</v>
      </c>
      <c r="G47">
        <v>3.9611760427190887</v>
      </c>
      <c r="H47">
        <v>34.082542882580164</v>
      </c>
    </row>
    <row r="48" spans="1:8">
      <c r="A48" s="17">
        <v>11</v>
      </c>
      <c r="B48" s="17">
        <v>2019</v>
      </c>
      <c r="C48" s="8">
        <v>0</v>
      </c>
      <c r="D48" s="8">
        <v>12.658075519480519</v>
      </c>
      <c r="E48" s="8">
        <f t="shared" si="1"/>
        <v>12.658075519480519</v>
      </c>
      <c r="F48" s="8">
        <f t="shared" si="0"/>
        <v>-12.658075519480519</v>
      </c>
      <c r="G48">
        <v>3.9611760427190887</v>
      </c>
      <c r="H48">
        <v>30.726790053266619</v>
      </c>
    </row>
    <row r="49" spans="1:8">
      <c r="A49" s="17">
        <v>12</v>
      </c>
      <c r="B49" s="17">
        <v>2019</v>
      </c>
      <c r="C49" s="8">
        <v>0</v>
      </c>
      <c r="D49" s="8">
        <v>11.92977457792208</v>
      </c>
      <c r="E49" s="8">
        <f t="shared" si="1"/>
        <v>11.92977457792208</v>
      </c>
      <c r="F49" s="8">
        <f t="shared" si="0"/>
        <v>-11.92977457792208</v>
      </c>
      <c r="G49">
        <v>3.9611760427190887</v>
      </c>
      <c r="H49">
        <v>31.455090994825056</v>
      </c>
    </row>
    <row r="50" spans="1:8">
      <c r="A50" s="17">
        <v>1</v>
      </c>
      <c r="B50" s="17">
        <v>2020</v>
      </c>
      <c r="C50" s="8">
        <v>0</v>
      </c>
      <c r="D50" s="8">
        <v>10.35875922077922</v>
      </c>
      <c r="E50" s="8">
        <f t="shared" si="1"/>
        <v>10.35875922077922</v>
      </c>
      <c r="F50" s="8">
        <f t="shared" si="0"/>
        <v>-10.35875922077922</v>
      </c>
      <c r="G50">
        <v>3.9611760427190887</v>
      </c>
      <c r="H50">
        <v>33.026106351967918</v>
      </c>
    </row>
    <row r="51" spans="1:8">
      <c r="A51" s="17">
        <v>2</v>
      </c>
      <c r="B51" s="17">
        <v>2020</v>
      </c>
      <c r="C51" s="8">
        <v>0</v>
      </c>
      <c r="D51" s="8">
        <v>14.929436604823749</v>
      </c>
      <c r="E51" s="8">
        <f t="shared" si="1"/>
        <v>14.929436604823749</v>
      </c>
      <c r="F51" s="8">
        <f t="shared" si="0"/>
        <v>-14.929436604823749</v>
      </c>
      <c r="G51">
        <v>3.9611760427190887</v>
      </c>
      <c r="H51">
        <v>28.455428967923389</v>
      </c>
    </row>
    <row r="52" spans="1:8">
      <c r="A52" s="17">
        <v>3</v>
      </c>
      <c r="B52" s="17">
        <v>2020</v>
      </c>
      <c r="C52" s="8">
        <v>0</v>
      </c>
      <c r="D52" s="8">
        <v>16.82755315508021</v>
      </c>
      <c r="E52" s="8">
        <f t="shared" si="1"/>
        <v>16.82755315508021</v>
      </c>
      <c r="F52" s="8">
        <f t="shared" si="0"/>
        <v>-16.82755315508021</v>
      </c>
      <c r="G52">
        <v>3.9611760427190887</v>
      </c>
      <c r="H52">
        <v>26.557312417666928</v>
      </c>
    </row>
    <row r="53" spans="1:8">
      <c r="A53" s="17">
        <v>4</v>
      </c>
      <c r="B53" s="17">
        <v>2020</v>
      </c>
      <c r="C53" s="8">
        <v>0</v>
      </c>
      <c r="D53" s="8">
        <v>14.313971020408159</v>
      </c>
      <c r="E53" s="8">
        <f t="shared" si="1"/>
        <v>14.313971020408159</v>
      </c>
      <c r="F53" s="8">
        <f t="shared" si="0"/>
        <v>-14.313971020408159</v>
      </c>
      <c r="G53">
        <v>3.9611760427190887</v>
      </c>
      <c r="H53">
        <v>29.070894552338977</v>
      </c>
    </row>
    <row r="54" spans="1:8">
      <c r="A54" s="17">
        <v>5</v>
      </c>
      <c r="B54" s="17">
        <v>2020</v>
      </c>
      <c r="C54" s="8">
        <v>0</v>
      </c>
      <c r="D54" s="8">
        <v>14.140321801948049</v>
      </c>
      <c r="E54" s="8">
        <f t="shared" si="1"/>
        <v>14.140321801948049</v>
      </c>
      <c r="F54" s="8">
        <f t="shared" si="0"/>
        <v>-14.140321801948049</v>
      </c>
      <c r="G54">
        <v>3.9611760427190887</v>
      </c>
      <c r="H54">
        <v>29.244543770799091</v>
      </c>
    </row>
    <row r="55" spans="1:8">
      <c r="A55" s="17">
        <v>6</v>
      </c>
      <c r="B55" s="17">
        <v>2020</v>
      </c>
      <c r="C55" s="8">
        <v>0</v>
      </c>
      <c r="D55" s="8">
        <v>17.08756268004722</v>
      </c>
      <c r="E55" s="8">
        <f t="shared" si="1"/>
        <v>17.08756268004722</v>
      </c>
      <c r="F55" s="8">
        <f t="shared" si="0"/>
        <v>-17.08756268004722</v>
      </c>
      <c r="G55">
        <v>3.9611760427190887</v>
      </c>
      <c r="H55">
        <v>26.297302892699918</v>
      </c>
    </row>
    <row r="56" spans="1:8">
      <c r="A56" s="17">
        <v>7</v>
      </c>
      <c r="B56" s="17">
        <v>2020</v>
      </c>
      <c r="C56" s="8">
        <v>0</v>
      </c>
      <c r="D56" s="8">
        <v>17.863888587662341</v>
      </c>
      <c r="E56" s="8">
        <f t="shared" si="1"/>
        <v>17.863888587662341</v>
      </c>
      <c r="F56" s="8">
        <f t="shared" si="0"/>
        <v>-17.863888587662341</v>
      </c>
      <c r="G56">
        <v>3.9611760427190887</v>
      </c>
      <c r="H56">
        <v>25.520976985084797</v>
      </c>
    </row>
    <row r="57" spans="1:8">
      <c r="A57" s="17">
        <v>8</v>
      </c>
      <c r="B57" s="17">
        <v>2020</v>
      </c>
      <c r="C57" s="8">
        <v>0</v>
      </c>
      <c r="D57" s="8">
        <v>16.05134244155844</v>
      </c>
      <c r="E57" s="8">
        <f t="shared" si="1"/>
        <v>16.05134244155844</v>
      </c>
      <c r="F57" s="8">
        <f t="shared" si="0"/>
        <v>-16.05134244155844</v>
      </c>
      <c r="G57">
        <v>3.9611760427190887</v>
      </c>
      <c r="H57">
        <v>27.333523131188699</v>
      </c>
    </row>
    <row r="58" spans="1:8">
      <c r="A58" s="17">
        <v>9</v>
      </c>
      <c r="B58" s="17">
        <v>2020</v>
      </c>
      <c r="C58" s="8">
        <v>0</v>
      </c>
      <c r="D58" s="8">
        <v>17.096266233766229</v>
      </c>
      <c r="E58" s="8">
        <f t="shared" si="1"/>
        <v>17.096266233766229</v>
      </c>
      <c r="F58" s="8">
        <f t="shared" si="0"/>
        <v>-17.096266233766229</v>
      </c>
      <c r="G58">
        <v>3.9611760427190887</v>
      </c>
      <c r="H58">
        <v>26.288599338980909</v>
      </c>
    </row>
    <row r="59" spans="1:8">
      <c r="A59" s="17">
        <v>10</v>
      </c>
      <c r="B59" s="17">
        <v>2020</v>
      </c>
      <c r="C59" s="8">
        <v>0</v>
      </c>
      <c r="D59" s="8">
        <v>19.55422085343228</v>
      </c>
      <c r="E59" s="8">
        <f t="shared" si="1"/>
        <v>19.55422085343228</v>
      </c>
      <c r="F59" s="8">
        <f t="shared" si="0"/>
        <v>-19.55422085343228</v>
      </c>
      <c r="G59">
        <v>3.9611760427190887</v>
      </c>
      <c r="H59">
        <v>23.830644719314858</v>
      </c>
    </row>
    <row r="60" spans="1:8">
      <c r="A60" s="17">
        <v>11</v>
      </c>
      <c r="B60" s="17">
        <v>2020</v>
      </c>
      <c r="C60" s="8">
        <v>0</v>
      </c>
      <c r="D60" s="8">
        <v>19.09311012987013</v>
      </c>
      <c r="E60" s="8">
        <f t="shared" si="1"/>
        <v>19.09311012987013</v>
      </c>
      <c r="F60" s="8">
        <f t="shared" si="0"/>
        <v>-19.09311012987013</v>
      </c>
      <c r="G60">
        <v>3.9611760427190887</v>
      </c>
      <c r="H60">
        <v>24.291755442877008</v>
      </c>
    </row>
    <row r="61" spans="1:8">
      <c r="A61" s="17">
        <v>12</v>
      </c>
      <c r="B61" s="17">
        <v>2020</v>
      </c>
      <c r="C61" s="8">
        <v>0</v>
      </c>
      <c r="D61" s="8">
        <v>19.458970227272729</v>
      </c>
      <c r="E61" s="8">
        <f t="shared" si="1"/>
        <v>19.458970227272729</v>
      </c>
      <c r="F61" s="8">
        <f t="shared" si="0"/>
        <v>-19.458970227272729</v>
      </c>
      <c r="G61">
        <v>3.9611760427190887</v>
      </c>
      <c r="H61">
        <v>23.925895345474409</v>
      </c>
    </row>
    <row r="62" spans="1:8">
      <c r="A62" s="17">
        <v>1</v>
      </c>
      <c r="B62" s="17">
        <v>2021</v>
      </c>
      <c r="C62" s="8">
        <v>0</v>
      </c>
      <c r="D62" s="8">
        <v>23.915234137291279</v>
      </c>
      <c r="E62" s="8">
        <f t="shared" si="1"/>
        <v>23.915234137291279</v>
      </c>
      <c r="F62" s="8">
        <f t="shared" si="0"/>
        <v>-23.915234137291279</v>
      </c>
      <c r="G62">
        <v>3.9611760427190887</v>
      </c>
      <c r="H62">
        <v>19.46963143545586</v>
      </c>
    </row>
    <row r="63" spans="1:8">
      <c r="A63" s="17">
        <v>2</v>
      </c>
      <c r="B63" s="17">
        <v>2021</v>
      </c>
      <c r="C63" s="8">
        <v>0</v>
      </c>
      <c r="D63" s="8">
        <v>29.737245487012991</v>
      </c>
      <c r="E63" s="8">
        <f t="shared" si="1"/>
        <v>29.737245487012991</v>
      </c>
      <c r="F63" s="8">
        <f t="shared" si="0"/>
        <v>-29.737245487012991</v>
      </c>
      <c r="G63">
        <v>3.9611760427190887</v>
      </c>
      <c r="H63">
        <v>13.647620085734147</v>
      </c>
    </row>
    <row r="64" spans="1:8">
      <c r="A64" s="17">
        <v>3</v>
      </c>
      <c r="B64" s="17">
        <v>2021</v>
      </c>
      <c r="C64" s="8">
        <v>0</v>
      </c>
      <c r="D64" s="8">
        <v>32.04524142857143</v>
      </c>
      <c r="E64" s="8">
        <f t="shared" si="1"/>
        <v>32.04524142857143</v>
      </c>
      <c r="F64" s="8">
        <f t="shared" si="0"/>
        <v>-32.04524142857143</v>
      </c>
      <c r="G64">
        <v>3.9611760427190887</v>
      </c>
      <c r="H64">
        <v>11.339624144175708</v>
      </c>
    </row>
    <row r="65" spans="1:8">
      <c r="A65" s="17">
        <v>4</v>
      </c>
      <c r="B65" s="17">
        <v>2021</v>
      </c>
      <c r="C65" s="8">
        <v>0</v>
      </c>
      <c r="D65" s="8">
        <v>33.004341964285707</v>
      </c>
      <c r="E65" s="8">
        <f t="shared" si="1"/>
        <v>33.004341964285707</v>
      </c>
      <c r="F65" s="8">
        <f t="shared" si="0"/>
        <v>-33.004341964285707</v>
      </c>
      <c r="G65">
        <v>3.9611760427190887</v>
      </c>
      <c r="H65">
        <v>10.380523608461431</v>
      </c>
    </row>
    <row r="66" spans="1:8">
      <c r="A66" s="17">
        <v>5</v>
      </c>
      <c r="B66" s="17">
        <v>2021</v>
      </c>
      <c r="C66" s="8">
        <v>0</v>
      </c>
      <c r="D66" s="8">
        <v>30.571054814471239</v>
      </c>
      <c r="E66" s="8">
        <f t="shared" si="1"/>
        <v>30.571054814471239</v>
      </c>
      <c r="F66" s="8">
        <f t="shared" si="0"/>
        <v>-30.571054814471239</v>
      </c>
      <c r="G66">
        <v>3.9611760427190887</v>
      </c>
      <c r="H66">
        <v>12.813810758275899</v>
      </c>
    </row>
    <row r="67" spans="1:8">
      <c r="A67" s="17">
        <v>6</v>
      </c>
      <c r="B67" s="17">
        <v>2021</v>
      </c>
      <c r="C67" s="8">
        <v>0</v>
      </c>
      <c r="D67" s="8">
        <v>35.034194805194808</v>
      </c>
      <c r="E67" s="8">
        <f t="shared" si="1"/>
        <v>35.034194805194808</v>
      </c>
      <c r="F67" s="8">
        <f t="shared" si="0"/>
        <v>-35.034194805194808</v>
      </c>
      <c r="G67">
        <v>3.9611760427190887</v>
      </c>
      <c r="H67">
        <v>8.3506707675523302</v>
      </c>
    </row>
    <row r="68" spans="1:8">
      <c r="A68" s="17">
        <v>7</v>
      </c>
      <c r="B68" s="17">
        <v>2021</v>
      </c>
      <c r="C68" s="8">
        <v>0</v>
      </c>
      <c r="D68" s="8">
        <v>32.158076785714293</v>
      </c>
      <c r="E68" s="8">
        <f t="shared" si="1"/>
        <v>32.158076785714293</v>
      </c>
      <c r="F68" s="8">
        <f t="shared" si="0"/>
        <v>-32.158076785714293</v>
      </c>
      <c r="G68">
        <v>3.9611760427190887</v>
      </c>
      <c r="H68">
        <v>11.226788787032845</v>
      </c>
    </row>
    <row r="69" spans="1:8">
      <c r="A69" s="17">
        <v>8</v>
      </c>
      <c r="B69" s="17">
        <v>2021</v>
      </c>
      <c r="C69" s="8">
        <v>0</v>
      </c>
      <c r="D69" s="8">
        <v>34.318360987012987</v>
      </c>
      <c r="E69" s="8">
        <f t="shared" si="1"/>
        <v>34.318360987012987</v>
      </c>
      <c r="F69" s="8">
        <f t="shared" si="0"/>
        <v>-34.318360987012987</v>
      </c>
      <c r="G69">
        <v>3.9611760427190887</v>
      </c>
      <c r="H69">
        <v>9.0665045857341511</v>
      </c>
    </row>
    <row r="70" spans="1:8">
      <c r="A70" s="17">
        <v>9</v>
      </c>
      <c r="B70" s="17">
        <v>2021</v>
      </c>
      <c r="C70" s="8">
        <v>0</v>
      </c>
      <c r="D70" s="8">
        <v>30.957918896103891</v>
      </c>
      <c r="E70" s="8">
        <f t="shared" si="1"/>
        <v>30.957918896103891</v>
      </c>
      <c r="F70" s="8">
        <f t="shared" ref="F70:F86" si="2">E70*-1</f>
        <v>-30.957918896103891</v>
      </c>
      <c r="G70">
        <v>3.9611760427190887</v>
      </c>
      <c r="H70">
        <v>12.426946676643247</v>
      </c>
    </row>
    <row r="71" spans="1:8">
      <c r="A71" s="17">
        <v>10</v>
      </c>
      <c r="B71" s="17">
        <v>2021</v>
      </c>
      <c r="C71" s="8">
        <v>0</v>
      </c>
      <c r="D71" s="8">
        <v>35.820097012987013</v>
      </c>
      <c r="E71" s="8">
        <f t="shared" ref="E71:E86" si="3">C71+D71</f>
        <v>35.820097012987013</v>
      </c>
      <c r="F71" s="8">
        <f t="shared" si="2"/>
        <v>-35.820097012987013</v>
      </c>
      <c r="G71">
        <v>3.9611760427190887</v>
      </c>
      <c r="H71">
        <v>7.5647685597601253</v>
      </c>
    </row>
    <row r="72" spans="1:8">
      <c r="A72" s="17">
        <v>11</v>
      </c>
      <c r="B72" s="17">
        <v>2021</v>
      </c>
      <c r="C72" s="8">
        <v>0</v>
      </c>
      <c r="D72" s="8">
        <v>38.158866233766233</v>
      </c>
      <c r="E72" s="8">
        <f t="shared" si="3"/>
        <v>38.158866233766233</v>
      </c>
      <c r="F72" s="8">
        <f t="shared" si="2"/>
        <v>-38.158866233766233</v>
      </c>
      <c r="G72">
        <v>3.9611760427190887</v>
      </c>
      <c r="H72">
        <v>5.2259993389809054</v>
      </c>
    </row>
    <row r="73" spans="1:8">
      <c r="A73" s="17">
        <v>12</v>
      </c>
      <c r="B73" s="17">
        <v>2021</v>
      </c>
      <c r="C73" s="8">
        <v>0</v>
      </c>
      <c r="D73" s="8">
        <v>35.216940740259737</v>
      </c>
      <c r="E73" s="8">
        <f t="shared" si="3"/>
        <v>35.216940740259737</v>
      </c>
      <c r="F73" s="8">
        <f t="shared" si="2"/>
        <v>-35.216940740259737</v>
      </c>
      <c r="G73">
        <v>3.9611760427190887</v>
      </c>
      <c r="H73">
        <v>8.167924832487401</v>
      </c>
    </row>
    <row r="74" spans="1:8">
      <c r="A74" s="17">
        <v>1</v>
      </c>
      <c r="B74" s="17">
        <v>2022</v>
      </c>
      <c r="C74" s="8">
        <v>0</v>
      </c>
      <c r="D74" s="8">
        <v>40.029881610389609</v>
      </c>
      <c r="E74" s="8">
        <f t="shared" si="3"/>
        <v>40.029881610389609</v>
      </c>
      <c r="F74" s="8">
        <f t="shared" si="2"/>
        <v>-40.029881610389609</v>
      </c>
      <c r="G74">
        <v>3.9611760427190887</v>
      </c>
      <c r="H74">
        <v>3.3549839623575295</v>
      </c>
    </row>
    <row r="75" spans="1:8">
      <c r="A75" s="17">
        <v>2</v>
      </c>
      <c r="B75" s="17">
        <v>2022</v>
      </c>
      <c r="C75" s="8">
        <v>0</v>
      </c>
      <c r="D75" s="8">
        <v>39.624793353010631</v>
      </c>
      <c r="E75" s="8">
        <f t="shared" si="3"/>
        <v>39.624793353010631</v>
      </c>
      <c r="F75" s="8">
        <f t="shared" si="2"/>
        <v>-39.624793353010631</v>
      </c>
      <c r="G75">
        <v>3.9611760427190887</v>
      </c>
      <c r="H75">
        <v>3.7600722197365073</v>
      </c>
    </row>
    <row r="76" spans="1:8">
      <c r="A76" s="17">
        <v>3</v>
      </c>
      <c r="B76" s="17">
        <v>2022</v>
      </c>
      <c r="C76" s="8">
        <v>0</v>
      </c>
      <c r="D76" s="8">
        <v>37.988429610389623</v>
      </c>
      <c r="E76" s="8">
        <f t="shared" si="3"/>
        <v>37.988429610389623</v>
      </c>
      <c r="F76" s="8">
        <f t="shared" si="2"/>
        <v>-37.988429610389623</v>
      </c>
      <c r="G76">
        <v>3.9611760427190887</v>
      </c>
      <c r="H76">
        <v>5.3964359623575149</v>
      </c>
    </row>
    <row r="77" spans="1:8">
      <c r="A77" s="17">
        <v>4</v>
      </c>
      <c r="B77" s="17">
        <v>2022</v>
      </c>
      <c r="C77" s="8">
        <v>0</v>
      </c>
      <c r="D77" s="8">
        <v>39.611365012987008</v>
      </c>
      <c r="E77" s="8">
        <f t="shared" si="3"/>
        <v>39.611365012987008</v>
      </c>
      <c r="F77" s="8">
        <f t="shared" si="2"/>
        <v>-39.611365012987008</v>
      </c>
      <c r="G77">
        <v>3.9611760427190887</v>
      </c>
      <c r="H77">
        <v>3.7735005597601301</v>
      </c>
    </row>
    <row r="78" spans="1:8">
      <c r="A78" s="17">
        <v>5</v>
      </c>
      <c r="B78" s="17">
        <v>2022</v>
      </c>
      <c r="C78" s="8">
        <v>0</v>
      </c>
      <c r="D78" s="8">
        <v>40.630986331168828</v>
      </c>
      <c r="E78" s="8">
        <f t="shared" si="3"/>
        <v>40.630986331168828</v>
      </c>
      <c r="F78" s="8">
        <f t="shared" si="2"/>
        <v>-40.630986331168828</v>
      </c>
      <c r="G78">
        <v>3.9611760427190887</v>
      </c>
      <c r="H78">
        <v>2.7538792415783107</v>
      </c>
    </row>
    <row r="79" spans="1:8">
      <c r="A79" s="17">
        <v>6</v>
      </c>
      <c r="B79" s="17">
        <v>2022</v>
      </c>
      <c r="C79" s="8">
        <v>0</v>
      </c>
      <c r="D79" s="8">
        <v>38.643032493506489</v>
      </c>
      <c r="E79" s="8">
        <f t="shared" si="3"/>
        <v>38.643032493506489</v>
      </c>
      <c r="F79" s="8">
        <f t="shared" si="2"/>
        <v>-38.643032493506489</v>
      </c>
      <c r="G79">
        <v>3.9611760427190887</v>
      </c>
      <c r="H79">
        <v>4.7418330792406493</v>
      </c>
    </row>
    <row r="80" spans="1:8">
      <c r="A80" s="17">
        <v>7</v>
      </c>
      <c r="B80" s="17">
        <v>2022</v>
      </c>
      <c r="C80" s="8">
        <v>0</v>
      </c>
      <c r="D80" s="8">
        <v>35.655972857142856</v>
      </c>
      <c r="E80" s="8">
        <f t="shared" si="3"/>
        <v>35.655972857142856</v>
      </c>
      <c r="F80" s="8">
        <f t="shared" si="2"/>
        <v>-35.655972857142856</v>
      </c>
      <c r="G80">
        <v>3.9611760427190887</v>
      </c>
      <c r="H80">
        <v>7.7288927156042817</v>
      </c>
    </row>
    <row r="81" spans="1:8">
      <c r="A81" s="17">
        <v>8</v>
      </c>
      <c r="B81" s="17">
        <v>2022</v>
      </c>
      <c r="C81" s="8">
        <v>0</v>
      </c>
      <c r="D81" s="8">
        <v>36.602617541743967</v>
      </c>
      <c r="E81" s="8">
        <f t="shared" si="3"/>
        <v>36.602617541743967</v>
      </c>
      <c r="F81" s="8">
        <f t="shared" si="2"/>
        <v>-36.602617541743967</v>
      </c>
      <c r="G81">
        <v>3.9611760427190887</v>
      </c>
      <c r="H81">
        <v>6.7822480310031708</v>
      </c>
    </row>
    <row r="82" spans="1:8">
      <c r="A82" s="17">
        <v>9</v>
      </c>
      <c r="B82" s="17">
        <v>2022</v>
      </c>
      <c r="C82" s="8">
        <v>0</v>
      </c>
      <c r="D82" s="8">
        <v>37.988429610389609</v>
      </c>
      <c r="E82" s="8">
        <f t="shared" si="3"/>
        <v>37.988429610389609</v>
      </c>
      <c r="F82" s="8">
        <f t="shared" si="2"/>
        <v>-37.988429610389609</v>
      </c>
      <c r="G82">
        <v>3.9611760427190887</v>
      </c>
      <c r="H82">
        <v>5.3964359623575291</v>
      </c>
    </row>
    <row r="83" spans="1:8">
      <c r="A83" s="17">
        <v>10</v>
      </c>
      <c r="B83" s="17">
        <v>2022</v>
      </c>
      <c r="C83" s="8">
        <v>0</v>
      </c>
      <c r="D83" s="8">
        <v>36.326146493506492</v>
      </c>
      <c r="E83" s="8">
        <f t="shared" si="3"/>
        <v>36.326146493506492</v>
      </c>
      <c r="F83" s="8">
        <f t="shared" si="2"/>
        <v>-36.326146493506492</v>
      </c>
      <c r="G83">
        <v>3.9611760427190887</v>
      </c>
      <c r="H83">
        <v>7.058719079240646</v>
      </c>
    </row>
    <row r="84" spans="1:8">
      <c r="A84" s="17">
        <v>11</v>
      </c>
      <c r="B84" s="17">
        <v>2022</v>
      </c>
      <c r="C84" s="8">
        <v>0</v>
      </c>
      <c r="D84" s="8">
        <v>33.054604987012993</v>
      </c>
      <c r="E84" s="8">
        <f t="shared" si="3"/>
        <v>33.054604987012993</v>
      </c>
      <c r="F84" s="8">
        <f t="shared" si="2"/>
        <v>-33.054604987012993</v>
      </c>
      <c r="G84">
        <v>3.9611760427190887</v>
      </c>
      <c r="H84">
        <v>10.330260585734145</v>
      </c>
    </row>
    <row r="85" spans="1:8">
      <c r="A85" s="17">
        <v>12</v>
      </c>
      <c r="B85" s="17">
        <v>2022</v>
      </c>
      <c r="C85" s="8">
        <v>0</v>
      </c>
      <c r="D85" s="8">
        <v>34.189113214285719</v>
      </c>
      <c r="E85" s="8">
        <f t="shared" si="3"/>
        <v>34.189113214285719</v>
      </c>
      <c r="F85" s="8">
        <f t="shared" si="2"/>
        <v>-34.189113214285719</v>
      </c>
      <c r="G85">
        <v>3.9611760427190887</v>
      </c>
      <c r="H85">
        <v>9.1957523584614194</v>
      </c>
    </row>
    <row r="86" spans="1:8">
      <c r="A86" s="17">
        <v>1</v>
      </c>
      <c r="B86" s="17">
        <v>2023</v>
      </c>
      <c r="C86" s="8">
        <v>0</v>
      </c>
      <c r="D86" s="8">
        <v>33.257522125147581</v>
      </c>
      <c r="E86" s="8">
        <f t="shared" si="3"/>
        <v>33.257522125147581</v>
      </c>
      <c r="F86" s="8">
        <f t="shared" si="2"/>
        <v>-33.257522125147581</v>
      </c>
      <c r="G86">
        <v>3.9611760427190887</v>
      </c>
      <c r="H86">
        <v>10.127343447599557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J37"/>
  <sheetViews>
    <sheetView workbookViewId="0">
      <selection activeCell="B6" sqref="B6"/>
    </sheetView>
  </sheetViews>
  <sheetFormatPr defaultColWidth="11" defaultRowHeight="15.75"/>
  <cols>
    <col min="1" max="1" width="25.875" bestFit="1" customWidth="1"/>
    <col min="2" max="2" width="8.5" bestFit="1" customWidth="1"/>
    <col min="4" max="4" width="13.375" bestFit="1" customWidth="1"/>
    <col min="5" max="5" width="12.875" bestFit="1" customWidth="1"/>
    <col min="6" max="8" width="14.375" bestFit="1" customWidth="1"/>
  </cols>
  <sheetData>
    <row r="1" spans="1:10">
      <c r="A1" s="1" t="s">
        <v>185</v>
      </c>
    </row>
    <row r="2" spans="1:10">
      <c r="A2" t="s">
        <v>178</v>
      </c>
      <c r="B2" s="90">
        <v>1000</v>
      </c>
      <c r="C2" s="90"/>
    </row>
    <row r="3" spans="1:10" ht="18">
      <c r="A3" t="s">
        <v>271</v>
      </c>
      <c r="B3" s="90">
        <v>1000</v>
      </c>
      <c r="C3" s="90" t="s">
        <v>9</v>
      </c>
    </row>
    <row r="4" spans="1:10">
      <c r="A4" t="s">
        <v>179</v>
      </c>
      <c r="B4">
        <v>947817.12</v>
      </c>
      <c r="C4" s="90" t="s">
        <v>36</v>
      </c>
    </row>
    <row r="5" spans="1:10">
      <c r="A5" t="s">
        <v>180</v>
      </c>
      <c r="B5" s="91">
        <v>1000000</v>
      </c>
      <c r="C5" s="90"/>
    </row>
    <row r="6" spans="1:10">
      <c r="A6" t="s">
        <v>182</v>
      </c>
      <c r="B6" s="91">
        <v>3.7854100000000002</v>
      </c>
      <c r="C6" s="90" t="s">
        <v>292</v>
      </c>
    </row>
    <row r="7" spans="1:10">
      <c r="A7" t="s">
        <v>181</v>
      </c>
      <c r="B7" s="92">
        <v>277.77800000000002</v>
      </c>
      <c r="C7" s="90" t="s">
        <v>100</v>
      </c>
    </row>
    <row r="8" spans="1:10">
      <c r="A8" t="s">
        <v>183</v>
      </c>
      <c r="B8" s="7">
        <v>1606.34</v>
      </c>
      <c r="C8" s="90" t="s">
        <v>106</v>
      </c>
    </row>
    <row r="9" spans="1:10">
      <c r="A9" t="s">
        <v>184</v>
      </c>
      <c r="B9" s="7">
        <v>2.83168E-2</v>
      </c>
      <c r="C9" s="90" t="s">
        <v>112</v>
      </c>
    </row>
    <row r="10" spans="1:10">
      <c r="A10" t="s">
        <v>32</v>
      </c>
      <c r="B10">
        <v>24</v>
      </c>
      <c r="C10" t="s">
        <v>33</v>
      </c>
    </row>
    <row r="11" spans="1:10">
      <c r="A11" s="7" t="s">
        <v>305</v>
      </c>
      <c r="B11">
        <v>2.47105</v>
      </c>
      <c r="C11" s="90" t="s">
        <v>306</v>
      </c>
      <c r="H11" s="1"/>
      <c r="I11" s="7"/>
      <c r="J11" s="90"/>
    </row>
    <row r="12" spans="1:10">
      <c r="A12" s="7" t="s">
        <v>321</v>
      </c>
      <c r="B12">
        <v>2.2046199999999998</v>
      </c>
      <c r="C12" s="90" t="s">
        <v>322</v>
      </c>
    </row>
    <row r="13" spans="1:10">
      <c r="A13" s="7" t="s">
        <v>468</v>
      </c>
      <c r="B13">
        <v>2000</v>
      </c>
      <c r="C13" s="90" t="s">
        <v>469</v>
      </c>
    </row>
    <row r="14" spans="1:10">
      <c r="A14" s="7" t="s">
        <v>470</v>
      </c>
      <c r="B14">
        <v>2.2046199999999998</v>
      </c>
      <c r="C14" s="90" t="s">
        <v>471</v>
      </c>
    </row>
    <row r="15" spans="1:10">
      <c r="A15" s="7" t="s">
        <v>549</v>
      </c>
      <c r="B15">
        <v>60</v>
      </c>
      <c r="C15" s="90" t="s">
        <v>549</v>
      </c>
    </row>
    <row r="16" spans="1:10" ht="18">
      <c r="A16" s="7" t="s">
        <v>550</v>
      </c>
      <c r="B16">
        <v>35.317399999999999</v>
      </c>
      <c r="C16" s="90" t="s">
        <v>551</v>
      </c>
    </row>
    <row r="17" spans="1:9">
      <c r="A17" s="7"/>
      <c r="C17" s="90"/>
    </row>
    <row r="18" spans="1:9">
      <c r="A18" s="93" t="s">
        <v>186</v>
      </c>
      <c r="B18" s="1"/>
      <c r="C18" s="1"/>
    </row>
    <row r="19" spans="1:9" ht="18">
      <c r="A19" t="s">
        <v>7</v>
      </c>
      <c r="B19">
        <v>1.1499999999999999</v>
      </c>
      <c r="C19" t="s">
        <v>265</v>
      </c>
    </row>
    <row r="20" spans="1:9" ht="18">
      <c r="A20" t="s">
        <v>30</v>
      </c>
      <c r="B20">
        <v>1010</v>
      </c>
      <c r="C20" t="s">
        <v>273</v>
      </c>
    </row>
    <row r="21" spans="1:9" ht="18">
      <c r="A21" t="s">
        <v>40</v>
      </c>
      <c r="B21">
        <v>0.69</v>
      </c>
      <c r="C21" t="s">
        <v>265</v>
      </c>
      <c r="E21" s="11"/>
    </row>
    <row r="22" spans="1:9" ht="18">
      <c r="A22" t="s">
        <v>54</v>
      </c>
      <c r="B22">
        <v>1000</v>
      </c>
      <c r="C22" t="s">
        <v>265</v>
      </c>
    </row>
    <row r="23" spans="1:9" ht="19.5">
      <c r="A23" t="s">
        <v>272</v>
      </c>
      <c r="B23">
        <v>1.9095</v>
      </c>
      <c r="C23" t="s">
        <v>265</v>
      </c>
    </row>
    <row r="24" spans="1:9" ht="18">
      <c r="A24" t="s">
        <v>111</v>
      </c>
      <c r="B24">
        <v>1067</v>
      </c>
      <c r="C24" t="s">
        <v>273</v>
      </c>
    </row>
    <row r="25" spans="1:9" ht="18">
      <c r="A25" t="s">
        <v>136</v>
      </c>
      <c r="B25">
        <v>0.93100000000000005</v>
      </c>
      <c r="C25" t="s">
        <v>265</v>
      </c>
    </row>
    <row r="26" spans="1:9">
      <c r="A26" t="s">
        <v>160</v>
      </c>
      <c r="B26">
        <v>77000</v>
      </c>
      <c r="C26" t="s">
        <v>161</v>
      </c>
      <c r="H26">
        <f>340*1010/947817/0.0283</f>
        <v>12.802340133564346</v>
      </c>
    </row>
    <row r="28" spans="1:9">
      <c r="A28" s="1"/>
      <c r="D28" s="11"/>
      <c r="E28" s="11"/>
    </row>
    <row r="29" spans="1:9">
      <c r="A29" s="5"/>
      <c r="B29" s="3"/>
      <c r="C29" s="3"/>
      <c r="D29" s="94"/>
      <c r="E29" s="94"/>
      <c r="F29" s="3"/>
      <c r="G29" s="3"/>
      <c r="H29" s="3"/>
      <c r="I29" s="3"/>
    </row>
    <row r="30" spans="1:9">
      <c r="G30" s="87"/>
      <c r="H30" s="17"/>
      <c r="I30" s="17"/>
    </row>
    <row r="31" spans="1:9">
      <c r="G31" s="87"/>
      <c r="H31" s="17"/>
      <c r="I31" s="17"/>
    </row>
    <row r="32" spans="1:9">
      <c r="G32" s="87"/>
      <c r="H32" s="17"/>
      <c r="I32" s="17"/>
    </row>
    <row r="33" spans="7:9">
      <c r="G33" s="87"/>
      <c r="H33" s="17"/>
      <c r="I33" s="17"/>
    </row>
    <row r="34" spans="7:9">
      <c r="G34" s="87"/>
      <c r="H34" s="17"/>
      <c r="I34" s="17"/>
    </row>
    <row r="35" spans="7:9">
      <c r="G35" s="87"/>
      <c r="H35" s="17"/>
      <c r="I35" s="17"/>
    </row>
    <row r="36" spans="7:9">
      <c r="G36" s="87"/>
      <c r="H36" s="17"/>
      <c r="I36" s="17"/>
    </row>
    <row r="37" spans="7:9">
      <c r="G37" s="87"/>
      <c r="H37" s="17"/>
      <c r="I37" s="17"/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C2008"/>
  <sheetViews>
    <sheetView workbookViewId="0">
      <selection activeCell="J37" sqref="J37"/>
    </sheetView>
  </sheetViews>
  <sheetFormatPr defaultColWidth="8.875" defaultRowHeight="15.75"/>
  <cols>
    <col min="1" max="1" width="28.75" bestFit="1" customWidth="1"/>
    <col min="2" max="2" width="14.375" bestFit="1" customWidth="1"/>
  </cols>
  <sheetData>
    <row r="1" spans="1:3">
      <c r="A1" s="1" t="s">
        <v>204</v>
      </c>
    </row>
    <row r="2" spans="1:3">
      <c r="A2" t="s">
        <v>205</v>
      </c>
      <c r="B2" s="112">
        <v>3.7400000000000003E-2</v>
      </c>
    </row>
    <row r="3" spans="1:3">
      <c r="A3" t="s">
        <v>206</v>
      </c>
      <c r="B3" s="113">
        <v>0.02</v>
      </c>
    </row>
    <row r="4" spans="1:3">
      <c r="A4" t="s">
        <v>207</v>
      </c>
      <c r="B4" s="112">
        <v>1.7399999999999999E-2</v>
      </c>
    </row>
    <row r="6" spans="1:3">
      <c r="A6" s="1" t="s">
        <v>208</v>
      </c>
      <c r="B6" s="1" t="s">
        <v>209</v>
      </c>
      <c r="C6" s="1" t="s">
        <v>210</v>
      </c>
    </row>
    <row r="8" spans="1:3">
      <c r="A8" s="110" t="s">
        <v>211</v>
      </c>
      <c r="B8" s="110" t="s">
        <v>212</v>
      </c>
      <c r="C8" s="111" t="s">
        <v>213</v>
      </c>
    </row>
    <row r="9" spans="1:3">
      <c r="A9" s="110" t="s">
        <v>211</v>
      </c>
      <c r="B9" s="110" t="s">
        <v>214</v>
      </c>
      <c r="C9" s="111" t="s">
        <v>215</v>
      </c>
    </row>
    <row r="10" spans="1:3">
      <c r="A10" s="110" t="s">
        <v>211</v>
      </c>
      <c r="B10" s="110" t="s">
        <v>216</v>
      </c>
      <c r="C10" s="111" t="s">
        <v>217</v>
      </c>
    </row>
    <row r="11" spans="1:3">
      <c r="A11" s="110" t="s">
        <v>211</v>
      </c>
      <c r="B11" s="110" t="s">
        <v>218</v>
      </c>
      <c r="C11" s="111" t="s">
        <v>219</v>
      </c>
    </row>
    <row r="12" spans="1:3">
      <c r="A12" s="110" t="s">
        <v>211</v>
      </c>
      <c r="B12" s="110" t="s">
        <v>220</v>
      </c>
      <c r="C12" s="111" t="s">
        <v>221</v>
      </c>
    </row>
    <row r="13" spans="1:3">
      <c r="A13" s="110" t="s">
        <v>211</v>
      </c>
      <c r="B13" s="110" t="s">
        <v>222</v>
      </c>
      <c r="C13" s="111" t="s">
        <v>223</v>
      </c>
    </row>
    <row r="14" spans="1:3">
      <c r="A14" s="110" t="s">
        <v>211</v>
      </c>
      <c r="B14" s="110" t="s">
        <v>224</v>
      </c>
      <c r="C14" s="111" t="s">
        <v>225</v>
      </c>
    </row>
    <row r="15" spans="1:3">
      <c r="A15" s="110" t="s">
        <v>211</v>
      </c>
      <c r="B15" s="110" t="s">
        <v>226</v>
      </c>
      <c r="C15" s="111" t="s">
        <v>227</v>
      </c>
    </row>
    <row r="16" spans="1:3">
      <c r="A16" s="110" t="s">
        <v>211</v>
      </c>
      <c r="B16" s="110" t="s">
        <v>228</v>
      </c>
      <c r="C16" s="111" t="s">
        <v>229</v>
      </c>
    </row>
    <row r="17" spans="1:3">
      <c r="A17" s="110" t="s">
        <v>211</v>
      </c>
      <c r="B17" s="110" t="s">
        <v>230</v>
      </c>
      <c r="C17" s="111" t="s">
        <v>231</v>
      </c>
    </row>
    <row r="18" spans="1:3">
      <c r="A18" s="110" t="s">
        <v>211</v>
      </c>
      <c r="B18" s="110" t="s">
        <v>232</v>
      </c>
      <c r="C18" s="111" t="s">
        <v>233</v>
      </c>
    </row>
    <row r="19" spans="1:3">
      <c r="A19" s="110" t="s">
        <v>211</v>
      </c>
      <c r="B19" s="110" t="s">
        <v>234</v>
      </c>
      <c r="C19" s="111" t="s">
        <v>235</v>
      </c>
    </row>
    <row r="20" spans="1:3">
      <c r="A20" s="108" t="s">
        <v>211</v>
      </c>
      <c r="B20" s="108" t="s">
        <v>236</v>
      </c>
      <c r="C20" s="109" t="s">
        <v>237</v>
      </c>
    </row>
    <row r="21" spans="1:3">
      <c r="A21" s="108" t="s">
        <v>211</v>
      </c>
      <c r="B21" s="108" t="s">
        <v>238</v>
      </c>
      <c r="C21" s="109" t="s">
        <v>239</v>
      </c>
    </row>
    <row r="22" spans="1:3">
      <c r="A22" s="108" t="s">
        <v>211</v>
      </c>
      <c r="B22" s="108" t="s">
        <v>240</v>
      </c>
      <c r="C22" s="109" t="s">
        <v>241</v>
      </c>
    </row>
    <row r="23" spans="1:3">
      <c r="A23" s="108" t="s">
        <v>211</v>
      </c>
      <c r="B23" s="108" t="s">
        <v>242</v>
      </c>
      <c r="C23" s="109" t="s">
        <v>243</v>
      </c>
    </row>
    <row r="24" spans="1:3">
      <c r="A24" s="108" t="s">
        <v>211</v>
      </c>
      <c r="B24" s="108" t="s">
        <v>244</v>
      </c>
      <c r="C24" s="109" t="s">
        <v>245</v>
      </c>
    </row>
    <row r="25" spans="1:3">
      <c r="A25" s="108" t="s">
        <v>211</v>
      </c>
      <c r="B25" s="108" t="s">
        <v>246</v>
      </c>
      <c r="C25" s="109" t="s">
        <v>247</v>
      </c>
    </row>
    <row r="26" spans="1:3">
      <c r="A26" s="108" t="s">
        <v>211</v>
      </c>
      <c r="B26" s="108" t="s">
        <v>248</v>
      </c>
      <c r="C26" s="109" t="s">
        <v>249</v>
      </c>
    </row>
    <row r="27" spans="1:3">
      <c r="A27" s="108" t="s">
        <v>211</v>
      </c>
      <c r="B27" s="108" t="s">
        <v>250</v>
      </c>
      <c r="C27" s="109" t="s">
        <v>251</v>
      </c>
    </row>
    <row r="28" spans="1:3">
      <c r="A28" s="108" t="s">
        <v>211</v>
      </c>
      <c r="B28" s="108" t="s">
        <v>252</v>
      </c>
      <c r="C28" s="109" t="s">
        <v>253</v>
      </c>
    </row>
    <row r="29" spans="1:3">
      <c r="A29" s="108" t="s">
        <v>211</v>
      </c>
      <c r="B29" s="108" t="s">
        <v>254</v>
      </c>
      <c r="C29" s="109" t="s">
        <v>255</v>
      </c>
    </row>
    <row r="30" spans="1:3">
      <c r="A30" s="108" t="s">
        <v>211</v>
      </c>
      <c r="B30" s="108" t="s">
        <v>256</v>
      </c>
      <c r="C30" s="109" t="s">
        <v>257</v>
      </c>
    </row>
    <row r="31" spans="1:3">
      <c r="A31" s="108" t="s">
        <v>211</v>
      </c>
      <c r="B31" s="108" t="s">
        <v>258</v>
      </c>
      <c r="C31" s="109" t="s">
        <v>259</v>
      </c>
    </row>
    <row r="32" spans="1:3">
      <c r="A32" s="108"/>
      <c r="B32" s="108"/>
      <c r="C32" s="108"/>
    </row>
    <row r="33" spans="1:3">
      <c r="A33" s="108"/>
      <c r="B33" s="108"/>
      <c r="C33" s="108"/>
    </row>
    <row r="34" spans="1:3">
      <c r="A34" s="108"/>
      <c r="B34" s="108"/>
      <c r="C34" s="108"/>
    </row>
    <row r="35" spans="1:3">
      <c r="A35" s="108"/>
      <c r="B35" s="108"/>
      <c r="C35" s="108"/>
    </row>
    <row r="36" spans="1:3">
      <c r="A36" s="108"/>
      <c r="B36" s="108"/>
      <c r="C36" s="108"/>
    </row>
    <row r="37" spans="1:3">
      <c r="A37" s="108"/>
      <c r="B37" s="108"/>
      <c r="C37" s="108"/>
    </row>
    <row r="38" spans="1:3">
      <c r="A38" s="108"/>
      <c r="B38" s="108"/>
      <c r="C38" s="108"/>
    </row>
    <row r="39" spans="1:3">
      <c r="A39" s="108"/>
      <c r="B39" s="108"/>
      <c r="C39" s="108"/>
    </row>
    <row r="40" spans="1:3">
      <c r="A40" s="108"/>
      <c r="B40" s="108"/>
      <c r="C40" s="108"/>
    </row>
    <row r="41" spans="1:3">
      <c r="A41" s="108"/>
      <c r="B41" s="108"/>
      <c r="C41" s="108"/>
    </row>
    <row r="42" spans="1:3">
      <c r="A42" s="108"/>
      <c r="B42" s="108"/>
      <c r="C42" s="108"/>
    </row>
    <row r="43" spans="1:3">
      <c r="A43" s="108"/>
      <c r="B43" s="108"/>
      <c r="C43" s="108"/>
    </row>
    <row r="44" spans="1:3">
      <c r="A44" s="108"/>
      <c r="B44" s="108"/>
      <c r="C44" s="108"/>
    </row>
    <row r="45" spans="1:3">
      <c r="A45" s="108"/>
      <c r="B45" s="108"/>
      <c r="C45" s="108"/>
    </row>
    <row r="46" spans="1:3">
      <c r="A46" s="108"/>
      <c r="B46" s="108"/>
      <c r="C46" s="108"/>
    </row>
    <row r="47" spans="1:3">
      <c r="A47" s="108"/>
      <c r="B47" s="108"/>
      <c r="C47" s="108"/>
    </row>
    <row r="48" spans="1:3">
      <c r="A48" s="108"/>
      <c r="B48" s="108"/>
      <c r="C48" s="108"/>
    </row>
    <row r="49" spans="1:3">
      <c r="A49" s="108"/>
      <c r="B49" s="108"/>
      <c r="C49" s="108"/>
    </row>
    <row r="50" spans="1:3">
      <c r="A50" s="108"/>
      <c r="B50" s="108"/>
      <c r="C50" s="108"/>
    </row>
    <row r="51" spans="1:3">
      <c r="A51" s="108"/>
      <c r="B51" s="108"/>
      <c r="C51" s="108"/>
    </row>
    <row r="52" spans="1:3">
      <c r="A52" s="108"/>
      <c r="B52" s="108"/>
      <c r="C52" s="108"/>
    </row>
    <row r="53" spans="1:3">
      <c r="A53" s="108"/>
      <c r="B53" s="108"/>
      <c r="C53" s="108"/>
    </row>
    <row r="54" spans="1:3">
      <c r="A54" s="108"/>
      <c r="B54" s="108"/>
      <c r="C54" s="108"/>
    </row>
    <row r="55" spans="1:3">
      <c r="A55" s="108"/>
      <c r="B55" s="108"/>
      <c r="C55" s="108"/>
    </row>
    <row r="56" spans="1:3">
      <c r="A56" s="108"/>
      <c r="B56" s="108"/>
      <c r="C56" s="108"/>
    </row>
    <row r="57" spans="1:3">
      <c r="A57" s="108"/>
      <c r="B57" s="108"/>
      <c r="C57" s="108"/>
    </row>
    <row r="58" spans="1:3">
      <c r="A58" s="108"/>
      <c r="B58" s="108"/>
      <c r="C58" s="108"/>
    </row>
    <row r="59" spans="1:3">
      <c r="A59" s="108"/>
      <c r="B59" s="108"/>
      <c r="C59" s="108"/>
    </row>
    <row r="60" spans="1:3">
      <c r="A60" s="108"/>
      <c r="B60" s="108"/>
      <c r="C60" s="108"/>
    </row>
    <row r="61" spans="1:3">
      <c r="A61" s="108"/>
      <c r="B61" s="108"/>
      <c r="C61" s="108"/>
    </row>
    <row r="62" spans="1:3">
      <c r="A62" s="108"/>
      <c r="B62" s="108"/>
      <c r="C62" s="108"/>
    </row>
    <row r="63" spans="1:3">
      <c r="A63" s="108"/>
      <c r="B63" s="108"/>
      <c r="C63" s="108"/>
    </row>
    <row r="64" spans="1:3">
      <c r="A64" s="108"/>
      <c r="B64" s="108"/>
      <c r="C64" s="108"/>
    </row>
    <row r="65" spans="1:3">
      <c r="A65" s="108"/>
      <c r="B65" s="108"/>
      <c r="C65" s="108"/>
    </row>
    <row r="66" spans="1:3">
      <c r="A66" s="108"/>
      <c r="B66" s="108"/>
      <c r="C66" s="108"/>
    </row>
    <row r="67" spans="1:3">
      <c r="A67" s="108"/>
      <c r="B67" s="108"/>
      <c r="C67" s="108"/>
    </row>
    <row r="68" spans="1:3">
      <c r="A68" s="108"/>
      <c r="B68" s="108"/>
      <c r="C68" s="108"/>
    </row>
    <row r="69" spans="1:3">
      <c r="A69" s="108"/>
      <c r="B69" s="108"/>
      <c r="C69" s="108"/>
    </row>
    <row r="70" spans="1:3">
      <c r="A70" s="108"/>
      <c r="B70" s="108"/>
      <c r="C70" s="108"/>
    </row>
    <row r="71" spans="1:3">
      <c r="A71" s="108"/>
      <c r="B71" s="108"/>
      <c r="C71" s="108"/>
    </row>
    <row r="72" spans="1:3">
      <c r="A72" s="108"/>
      <c r="B72" s="108"/>
      <c r="C72" s="108"/>
    </row>
    <row r="73" spans="1:3">
      <c r="A73" s="108"/>
      <c r="B73" s="108"/>
      <c r="C73" s="108"/>
    </row>
    <row r="74" spans="1:3">
      <c r="A74" s="108"/>
      <c r="B74" s="108"/>
      <c r="C74" s="108"/>
    </row>
    <row r="75" spans="1:3">
      <c r="A75" s="108"/>
      <c r="B75" s="108"/>
      <c r="C75" s="108"/>
    </row>
    <row r="76" spans="1:3">
      <c r="A76" s="108"/>
      <c r="B76" s="108"/>
      <c r="C76" s="108"/>
    </row>
    <row r="77" spans="1:3">
      <c r="A77" s="108"/>
      <c r="B77" s="108"/>
      <c r="C77" s="108"/>
    </row>
    <row r="78" spans="1:3">
      <c r="A78" s="108"/>
      <c r="B78" s="108"/>
      <c r="C78" s="108"/>
    </row>
    <row r="79" spans="1:3">
      <c r="A79" s="108"/>
      <c r="B79" s="108"/>
      <c r="C79" s="108"/>
    </row>
    <row r="80" spans="1:3">
      <c r="A80" s="108"/>
      <c r="B80" s="108"/>
      <c r="C80" s="108"/>
    </row>
    <row r="81" spans="1:3">
      <c r="A81" s="108"/>
      <c r="B81" s="108"/>
      <c r="C81" s="108"/>
    </row>
    <row r="82" spans="1:3">
      <c r="A82" s="108"/>
      <c r="B82" s="108"/>
      <c r="C82" s="108"/>
    </row>
    <row r="83" spans="1:3">
      <c r="A83" s="108"/>
      <c r="B83" s="108"/>
      <c r="C83" s="108"/>
    </row>
    <row r="84" spans="1:3">
      <c r="A84" s="108"/>
      <c r="B84" s="108"/>
      <c r="C84" s="108"/>
    </row>
    <row r="85" spans="1:3">
      <c r="A85" s="108"/>
      <c r="B85" s="108"/>
      <c r="C85" s="108"/>
    </row>
    <row r="86" spans="1:3">
      <c r="A86" s="108"/>
      <c r="B86" s="108"/>
      <c r="C86" s="108"/>
    </row>
    <row r="87" spans="1:3">
      <c r="A87" s="108"/>
      <c r="B87" s="108"/>
      <c r="C87" s="108"/>
    </row>
    <row r="88" spans="1:3">
      <c r="A88" s="108"/>
      <c r="B88" s="108"/>
      <c r="C88" s="108"/>
    </row>
    <row r="89" spans="1:3">
      <c r="A89" s="108"/>
      <c r="B89" s="108"/>
      <c r="C89" s="108"/>
    </row>
    <row r="90" spans="1:3">
      <c r="A90" s="108"/>
      <c r="B90" s="108"/>
      <c r="C90" s="108"/>
    </row>
    <row r="91" spans="1:3">
      <c r="A91" s="108"/>
      <c r="B91" s="108"/>
      <c r="C91" s="108"/>
    </row>
    <row r="92" spans="1:3">
      <c r="A92" s="108"/>
      <c r="B92" s="108"/>
      <c r="C92" s="108"/>
    </row>
    <row r="93" spans="1:3">
      <c r="A93" s="108"/>
      <c r="B93" s="108"/>
      <c r="C93" s="108"/>
    </row>
    <row r="94" spans="1:3">
      <c r="A94" s="108"/>
      <c r="B94" s="108"/>
      <c r="C94" s="108"/>
    </row>
    <row r="95" spans="1:3">
      <c r="A95" s="108"/>
      <c r="B95" s="108"/>
      <c r="C95" s="108"/>
    </row>
    <row r="96" spans="1:3">
      <c r="A96" s="108"/>
      <c r="B96" s="108"/>
      <c r="C96" s="108"/>
    </row>
    <row r="97" spans="1:3">
      <c r="A97" s="108"/>
      <c r="B97" s="108"/>
      <c r="C97" s="108"/>
    </row>
    <row r="98" spans="1:3">
      <c r="A98" s="108"/>
      <c r="B98" s="108"/>
      <c r="C98" s="108"/>
    </row>
    <row r="99" spans="1:3">
      <c r="A99" s="108"/>
      <c r="B99" s="108"/>
      <c r="C99" s="108"/>
    </row>
    <row r="100" spans="1:3">
      <c r="A100" s="108"/>
      <c r="B100" s="108"/>
      <c r="C100" s="108"/>
    </row>
    <row r="101" spans="1:3">
      <c r="A101" s="108"/>
      <c r="B101" s="108"/>
      <c r="C101" s="108"/>
    </row>
    <row r="102" spans="1:3">
      <c r="A102" s="108"/>
      <c r="B102" s="108"/>
      <c r="C102" s="108"/>
    </row>
    <row r="103" spans="1:3">
      <c r="A103" s="108"/>
      <c r="B103" s="108"/>
      <c r="C103" s="108"/>
    </row>
    <row r="104" spans="1:3">
      <c r="A104" s="108"/>
      <c r="B104" s="108"/>
      <c r="C104" s="108"/>
    </row>
    <row r="105" spans="1:3">
      <c r="A105" s="108"/>
      <c r="B105" s="108"/>
      <c r="C105" s="108"/>
    </row>
    <row r="106" spans="1:3">
      <c r="A106" s="108"/>
      <c r="B106" s="108"/>
      <c r="C106" s="108"/>
    </row>
    <row r="107" spans="1:3">
      <c r="A107" s="108"/>
      <c r="B107" s="108"/>
      <c r="C107" s="108"/>
    </row>
    <row r="108" spans="1:3">
      <c r="A108" s="108"/>
      <c r="B108" s="108"/>
      <c r="C108" s="108"/>
    </row>
    <row r="109" spans="1:3">
      <c r="A109" s="108"/>
      <c r="B109" s="108"/>
      <c r="C109" s="108"/>
    </row>
    <row r="110" spans="1:3">
      <c r="A110" s="108"/>
      <c r="B110" s="108"/>
      <c r="C110" s="108"/>
    </row>
    <row r="111" spans="1:3">
      <c r="A111" s="108"/>
      <c r="B111" s="108"/>
      <c r="C111" s="108"/>
    </row>
    <row r="112" spans="1:3">
      <c r="A112" s="108"/>
      <c r="B112" s="108"/>
      <c r="C112" s="108"/>
    </row>
    <row r="113" spans="1:3">
      <c r="A113" s="108"/>
      <c r="B113" s="108"/>
      <c r="C113" s="108"/>
    </row>
    <row r="114" spans="1:3">
      <c r="A114" s="108"/>
      <c r="B114" s="108"/>
      <c r="C114" s="108"/>
    </row>
    <row r="115" spans="1:3">
      <c r="A115" s="108"/>
      <c r="B115" s="108"/>
      <c r="C115" s="108"/>
    </row>
    <row r="116" spans="1:3">
      <c r="A116" s="108"/>
      <c r="B116" s="108"/>
      <c r="C116" s="108"/>
    </row>
    <row r="117" spans="1:3">
      <c r="A117" s="108"/>
      <c r="B117" s="108"/>
      <c r="C117" s="108"/>
    </row>
    <row r="118" spans="1:3">
      <c r="A118" s="108"/>
      <c r="B118" s="108"/>
      <c r="C118" s="108"/>
    </row>
    <row r="119" spans="1:3">
      <c r="A119" s="108"/>
      <c r="B119" s="108"/>
      <c r="C119" s="108"/>
    </row>
    <row r="120" spans="1:3">
      <c r="A120" s="108"/>
      <c r="B120" s="108"/>
      <c r="C120" s="108"/>
    </row>
    <row r="121" spans="1:3">
      <c r="A121" s="108"/>
      <c r="B121" s="108"/>
      <c r="C121" s="108"/>
    </row>
    <row r="122" spans="1:3">
      <c r="A122" s="108"/>
      <c r="B122" s="108"/>
      <c r="C122" s="108"/>
    </row>
    <row r="123" spans="1:3">
      <c r="A123" s="108"/>
      <c r="B123" s="108"/>
      <c r="C123" s="108"/>
    </row>
    <row r="124" spans="1:3">
      <c r="A124" s="108"/>
      <c r="B124" s="108"/>
      <c r="C124" s="108"/>
    </row>
    <row r="125" spans="1:3">
      <c r="A125" s="108"/>
      <c r="B125" s="108"/>
      <c r="C125" s="108"/>
    </row>
    <row r="126" spans="1:3">
      <c r="A126" s="108"/>
      <c r="B126" s="108"/>
      <c r="C126" s="108"/>
    </row>
    <row r="127" spans="1:3">
      <c r="A127" s="108"/>
      <c r="B127" s="108"/>
      <c r="C127" s="108"/>
    </row>
    <row r="128" spans="1:3">
      <c r="A128" s="108"/>
      <c r="B128" s="108"/>
      <c r="C128" s="108"/>
    </row>
    <row r="129" spans="1:3">
      <c r="A129" s="108"/>
      <c r="B129" s="108"/>
      <c r="C129" s="108"/>
    </row>
    <row r="130" spans="1:3">
      <c r="A130" s="108"/>
      <c r="B130" s="108"/>
      <c r="C130" s="108"/>
    </row>
    <row r="131" spans="1:3">
      <c r="A131" s="108"/>
      <c r="B131" s="108"/>
      <c r="C131" s="108"/>
    </row>
    <row r="132" spans="1:3">
      <c r="A132" s="108"/>
      <c r="B132" s="108"/>
      <c r="C132" s="108"/>
    </row>
    <row r="133" spans="1:3">
      <c r="A133" s="108"/>
      <c r="B133" s="108"/>
      <c r="C133" s="108"/>
    </row>
    <row r="134" spans="1:3">
      <c r="A134" s="108"/>
      <c r="B134" s="108"/>
      <c r="C134" s="108"/>
    </row>
    <row r="135" spans="1:3">
      <c r="A135" s="108"/>
      <c r="B135" s="108"/>
      <c r="C135" s="108"/>
    </row>
    <row r="136" spans="1:3">
      <c r="A136" s="108"/>
      <c r="B136" s="108"/>
      <c r="C136" s="108"/>
    </row>
    <row r="137" spans="1:3">
      <c r="A137" s="108"/>
      <c r="B137" s="108"/>
      <c r="C137" s="108"/>
    </row>
    <row r="138" spans="1:3">
      <c r="A138" s="108"/>
      <c r="B138" s="108"/>
      <c r="C138" s="108"/>
    </row>
    <row r="139" spans="1:3">
      <c r="A139" s="108"/>
      <c r="B139" s="108"/>
      <c r="C139" s="108"/>
    </row>
    <row r="140" spans="1:3">
      <c r="A140" s="108"/>
      <c r="B140" s="108"/>
      <c r="C140" s="108"/>
    </row>
    <row r="141" spans="1:3">
      <c r="A141" s="108"/>
      <c r="B141" s="108"/>
      <c r="C141" s="108"/>
    </row>
    <row r="142" spans="1:3">
      <c r="A142" s="108"/>
      <c r="B142" s="108"/>
      <c r="C142" s="108"/>
    </row>
    <row r="143" spans="1:3">
      <c r="A143" s="108"/>
      <c r="B143" s="108"/>
      <c r="C143" s="108"/>
    </row>
    <row r="144" spans="1:3">
      <c r="A144" s="108"/>
      <c r="B144" s="108"/>
      <c r="C144" s="108"/>
    </row>
    <row r="145" spans="1:3">
      <c r="A145" s="108"/>
      <c r="B145" s="108"/>
      <c r="C145" s="108"/>
    </row>
    <row r="146" spans="1:3">
      <c r="A146" s="108"/>
      <c r="B146" s="108"/>
      <c r="C146" s="108"/>
    </row>
    <row r="147" spans="1:3">
      <c r="A147" s="108"/>
      <c r="B147" s="108"/>
      <c r="C147" s="108"/>
    </row>
    <row r="148" spans="1:3">
      <c r="A148" s="108"/>
      <c r="B148" s="108"/>
      <c r="C148" s="108"/>
    </row>
    <row r="149" spans="1:3">
      <c r="A149" s="108"/>
      <c r="B149" s="108"/>
      <c r="C149" s="108"/>
    </row>
    <row r="150" spans="1:3">
      <c r="A150" s="108"/>
      <c r="B150" s="108"/>
      <c r="C150" s="108"/>
    </row>
    <row r="151" spans="1:3">
      <c r="A151" s="108"/>
      <c r="B151" s="108"/>
      <c r="C151" s="108"/>
    </row>
    <row r="152" spans="1:3">
      <c r="A152" s="108"/>
      <c r="B152" s="108"/>
      <c r="C152" s="108"/>
    </row>
    <row r="153" spans="1:3">
      <c r="A153" s="108"/>
      <c r="B153" s="108"/>
      <c r="C153" s="108"/>
    </row>
    <row r="154" spans="1:3">
      <c r="A154" s="108"/>
      <c r="B154" s="108"/>
      <c r="C154" s="108"/>
    </row>
    <row r="155" spans="1:3">
      <c r="A155" s="108"/>
      <c r="B155" s="108"/>
      <c r="C155" s="108"/>
    </row>
    <row r="156" spans="1:3">
      <c r="A156" s="108"/>
      <c r="B156" s="108"/>
      <c r="C156" s="108"/>
    </row>
    <row r="157" spans="1:3">
      <c r="A157" s="108"/>
      <c r="B157" s="108"/>
      <c r="C157" s="108"/>
    </row>
    <row r="158" spans="1:3">
      <c r="A158" s="108"/>
      <c r="B158" s="108"/>
      <c r="C158" s="108"/>
    </row>
    <row r="159" spans="1:3">
      <c r="A159" s="108"/>
      <c r="B159" s="108"/>
      <c r="C159" s="108"/>
    </row>
    <row r="160" spans="1:3">
      <c r="A160" s="108"/>
      <c r="B160" s="108"/>
      <c r="C160" s="108"/>
    </row>
    <row r="161" spans="1:3">
      <c r="A161" s="108"/>
      <c r="B161" s="108"/>
      <c r="C161" s="108"/>
    </row>
    <row r="162" spans="1:3">
      <c r="A162" s="108"/>
      <c r="B162" s="108"/>
      <c r="C162" s="108"/>
    </row>
    <row r="163" spans="1:3">
      <c r="A163" s="108"/>
      <c r="B163" s="108"/>
      <c r="C163" s="108"/>
    </row>
    <row r="164" spans="1:3">
      <c r="A164" s="108"/>
      <c r="B164" s="108"/>
      <c r="C164" s="108"/>
    </row>
    <row r="165" spans="1:3">
      <c r="A165" s="108"/>
      <c r="B165" s="108"/>
      <c r="C165" s="108"/>
    </row>
    <row r="166" spans="1:3">
      <c r="A166" s="108"/>
      <c r="B166" s="108"/>
      <c r="C166" s="108"/>
    </row>
    <row r="167" spans="1:3">
      <c r="A167" s="108"/>
      <c r="B167" s="108"/>
      <c r="C167" s="108"/>
    </row>
    <row r="168" spans="1:3">
      <c r="A168" s="108"/>
      <c r="B168" s="108"/>
      <c r="C168" s="108"/>
    </row>
    <row r="169" spans="1:3">
      <c r="A169" s="108"/>
      <c r="B169" s="108"/>
      <c r="C169" s="108"/>
    </row>
    <row r="170" spans="1:3">
      <c r="A170" s="108"/>
      <c r="B170" s="108"/>
      <c r="C170" s="108"/>
    </row>
    <row r="171" spans="1:3">
      <c r="A171" s="108"/>
      <c r="B171" s="108"/>
      <c r="C171" s="108"/>
    </row>
    <row r="172" spans="1:3">
      <c r="A172" s="108"/>
      <c r="B172" s="108"/>
      <c r="C172" s="108"/>
    </row>
    <row r="173" spans="1:3">
      <c r="A173" s="108"/>
      <c r="B173" s="108"/>
      <c r="C173" s="108"/>
    </row>
    <row r="174" spans="1:3">
      <c r="A174" s="108"/>
      <c r="B174" s="108"/>
      <c r="C174" s="108"/>
    </row>
    <row r="175" spans="1:3">
      <c r="A175" s="108"/>
      <c r="B175" s="108"/>
      <c r="C175" s="108"/>
    </row>
    <row r="176" spans="1:3">
      <c r="A176" s="108"/>
      <c r="B176" s="108"/>
      <c r="C176" s="108"/>
    </row>
    <row r="177" spans="1:3">
      <c r="A177" s="108"/>
      <c r="B177" s="108"/>
      <c r="C177" s="108"/>
    </row>
    <row r="178" spans="1:3">
      <c r="A178" s="108"/>
      <c r="B178" s="108"/>
      <c r="C178" s="108"/>
    </row>
    <row r="179" spans="1:3">
      <c r="A179" s="108"/>
      <c r="B179" s="108"/>
      <c r="C179" s="108"/>
    </row>
    <row r="180" spans="1:3">
      <c r="A180" s="108"/>
      <c r="B180" s="108"/>
      <c r="C180" s="108"/>
    </row>
    <row r="181" spans="1:3">
      <c r="A181" s="108"/>
      <c r="B181" s="108"/>
      <c r="C181" s="108"/>
    </row>
    <row r="182" spans="1:3">
      <c r="A182" s="108"/>
      <c r="B182" s="108"/>
      <c r="C182" s="108"/>
    </row>
    <row r="183" spans="1:3">
      <c r="A183" s="108"/>
      <c r="B183" s="108"/>
      <c r="C183" s="108"/>
    </row>
    <row r="184" spans="1:3">
      <c r="A184" s="108"/>
      <c r="B184" s="108"/>
      <c r="C184" s="108"/>
    </row>
    <row r="185" spans="1:3">
      <c r="A185" s="108"/>
      <c r="B185" s="108"/>
      <c r="C185" s="108"/>
    </row>
    <row r="186" spans="1:3">
      <c r="A186" s="108"/>
      <c r="B186" s="108"/>
      <c r="C186" s="108"/>
    </row>
    <row r="187" spans="1:3">
      <c r="A187" s="108"/>
      <c r="B187" s="108"/>
      <c r="C187" s="108"/>
    </row>
    <row r="188" spans="1:3">
      <c r="A188" s="108"/>
      <c r="B188" s="108"/>
      <c r="C188" s="108"/>
    </row>
    <row r="189" spans="1:3">
      <c r="A189" s="108"/>
      <c r="B189" s="108"/>
      <c r="C189" s="108"/>
    </row>
    <row r="190" spans="1:3">
      <c r="A190" s="108"/>
      <c r="B190" s="108"/>
      <c r="C190" s="108"/>
    </row>
    <row r="191" spans="1:3">
      <c r="A191" s="108"/>
      <c r="B191" s="108"/>
      <c r="C191" s="108"/>
    </row>
    <row r="192" spans="1:3">
      <c r="A192" s="108"/>
      <c r="B192" s="108"/>
      <c r="C192" s="108"/>
    </row>
    <row r="193" spans="1:3">
      <c r="A193" s="108"/>
      <c r="B193" s="108"/>
      <c r="C193" s="108"/>
    </row>
    <row r="194" spans="1:3">
      <c r="A194" s="108"/>
      <c r="B194" s="108"/>
      <c r="C194" s="108"/>
    </row>
    <row r="195" spans="1:3">
      <c r="A195" s="108"/>
      <c r="B195" s="108"/>
      <c r="C195" s="108"/>
    </row>
    <row r="196" spans="1:3">
      <c r="A196" s="108"/>
      <c r="B196" s="108"/>
      <c r="C196" s="108"/>
    </row>
    <row r="197" spans="1:3">
      <c r="A197" s="108"/>
      <c r="B197" s="108"/>
      <c r="C197" s="108"/>
    </row>
    <row r="198" spans="1:3">
      <c r="A198" s="108"/>
      <c r="B198" s="108"/>
      <c r="C198" s="108"/>
    </row>
    <row r="199" spans="1:3">
      <c r="A199" s="108"/>
      <c r="B199" s="108"/>
      <c r="C199" s="108"/>
    </row>
    <row r="200" spans="1:3">
      <c r="A200" s="108"/>
      <c r="B200" s="108"/>
      <c r="C200" s="108"/>
    </row>
    <row r="201" spans="1:3">
      <c r="A201" s="108"/>
      <c r="B201" s="108"/>
      <c r="C201" s="108"/>
    </row>
    <row r="202" spans="1:3">
      <c r="A202" s="108"/>
      <c r="B202" s="108"/>
      <c r="C202" s="108"/>
    </row>
    <row r="203" spans="1:3">
      <c r="A203" s="108"/>
      <c r="B203" s="108"/>
      <c r="C203" s="108"/>
    </row>
    <row r="204" spans="1:3">
      <c r="A204" s="108"/>
      <c r="B204" s="108"/>
      <c r="C204" s="108"/>
    </row>
    <row r="205" spans="1:3">
      <c r="A205" s="108"/>
      <c r="B205" s="108"/>
      <c r="C205" s="108"/>
    </row>
    <row r="206" spans="1:3">
      <c r="A206" s="108"/>
      <c r="B206" s="108"/>
      <c r="C206" s="108"/>
    </row>
    <row r="207" spans="1:3">
      <c r="A207" s="108"/>
      <c r="B207" s="108"/>
      <c r="C207" s="108"/>
    </row>
    <row r="208" spans="1:3">
      <c r="A208" s="108"/>
      <c r="B208" s="108"/>
      <c r="C208" s="108"/>
    </row>
    <row r="209" spans="1:3">
      <c r="A209" s="108"/>
      <c r="B209" s="108"/>
      <c r="C209" s="108"/>
    </row>
    <row r="210" spans="1:3">
      <c r="A210" s="108"/>
      <c r="B210" s="108"/>
      <c r="C210" s="108"/>
    </row>
    <row r="211" spans="1:3">
      <c r="A211" s="108"/>
      <c r="B211" s="108"/>
      <c r="C211" s="108"/>
    </row>
    <row r="212" spans="1:3">
      <c r="A212" s="108"/>
      <c r="B212" s="108"/>
      <c r="C212" s="108"/>
    </row>
    <row r="213" spans="1:3">
      <c r="A213" s="108"/>
      <c r="B213" s="108"/>
      <c r="C213" s="108"/>
    </row>
    <row r="214" spans="1:3">
      <c r="A214" s="108"/>
      <c r="B214" s="108"/>
      <c r="C214" s="108"/>
    </row>
    <row r="215" spans="1:3">
      <c r="A215" s="108"/>
      <c r="B215" s="108"/>
      <c r="C215" s="108"/>
    </row>
    <row r="216" spans="1:3">
      <c r="A216" s="108"/>
      <c r="B216" s="108"/>
      <c r="C216" s="108"/>
    </row>
    <row r="217" spans="1:3">
      <c r="A217" s="108"/>
      <c r="B217" s="108"/>
      <c r="C217" s="108"/>
    </row>
    <row r="218" spans="1:3">
      <c r="A218" s="108"/>
      <c r="B218" s="108"/>
      <c r="C218" s="108"/>
    </row>
    <row r="219" spans="1:3">
      <c r="A219" s="108"/>
      <c r="B219" s="108"/>
      <c r="C219" s="108"/>
    </row>
    <row r="220" spans="1:3">
      <c r="A220" s="108"/>
      <c r="B220" s="108"/>
      <c r="C220" s="108"/>
    </row>
    <row r="221" spans="1:3">
      <c r="A221" s="108"/>
      <c r="B221" s="108"/>
      <c r="C221" s="108"/>
    </row>
    <row r="222" spans="1:3">
      <c r="A222" s="108"/>
      <c r="B222" s="108"/>
      <c r="C222" s="108"/>
    </row>
    <row r="223" spans="1:3">
      <c r="A223" s="108"/>
      <c r="B223" s="108"/>
      <c r="C223" s="108"/>
    </row>
    <row r="224" spans="1:3">
      <c r="A224" s="108"/>
      <c r="B224" s="108"/>
      <c r="C224" s="108"/>
    </row>
    <row r="225" spans="1:3">
      <c r="A225" s="108"/>
      <c r="B225" s="108"/>
      <c r="C225" s="108"/>
    </row>
    <row r="226" spans="1:3">
      <c r="A226" s="108"/>
      <c r="B226" s="108"/>
      <c r="C226" s="108"/>
    </row>
    <row r="227" spans="1:3">
      <c r="A227" s="108"/>
      <c r="B227" s="108"/>
      <c r="C227" s="108"/>
    </row>
    <row r="228" spans="1:3">
      <c r="A228" s="108"/>
      <c r="B228" s="108"/>
      <c r="C228" s="108"/>
    </row>
    <row r="229" spans="1:3">
      <c r="A229" s="108"/>
      <c r="B229" s="108"/>
      <c r="C229" s="108"/>
    </row>
    <row r="230" spans="1:3">
      <c r="A230" s="108"/>
      <c r="B230" s="108"/>
      <c r="C230" s="108"/>
    </row>
    <row r="231" spans="1:3">
      <c r="A231" s="108"/>
      <c r="B231" s="108"/>
      <c r="C231" s="108"/>
    </row>
    <row r="232" spans="1:3">
      <c r="A232" s="108"/>
      <c r="B232" s="108"/>
      <c r="C232" s="108"/>
    </row>
    <row r="233" spans="1:3">
      <c r="A233" s="108"/>
      <c r="B233" s="108"/>
      <c r="C233" s="108"/>
    </row>
    <row r="234" spans="1:3">
      <c r="A234" s="108"/>
      <c r="B234" s="108"/>
      <c r="C234" s="108"/>
    </row>
    <row r="235" spans="1:3">
      <c r="A235" s="108"/>
      <c r="B235" s="108"/>
      <c r="C235" s="108"/>
    </row>
    <row r="236" spans="1:3">
      <c r="A236" s="108"/>
      <c r="B236" s="108"/>
      <c r="C236" s="108"/>
    </row>
    <row r="237" spans="1:3">
      <c r="A237" s="108"/>
      <c r="B237" s="108"/>
      <c r="C237" s="108"/>
    </row>
    <row r="238" spans="1:3">
      <c r="A238" s="108"/>
      <c r="B238" s="108"/>
      <c r="C238" s="108"/>
    </row>
    <row r="239" spans="1:3">
      <c r="A239" s="108"/>
      <c r="B239" s="108"/>
      <c r="C239" s="108"/>
    </row>
    <row r="240" spans="1:3">
      <c r="A240" s="108"/>
      <c r="B240" s="108"/>
      <c r="C240" s="108"/>
    </row>
    <row r="241" spans="1:3">
      <c r="A241" s="108"/>
      <c r="B241" s="108"/>
      <c r="C241" s="108"/>
    </row>
    <row r="242" spans="1:3">
      <c r="A242" s="108"/>
      <c r="B242" s="108"/>
      <c r="C242" s="108"/>
    </row>
    <row r="243" spans="1:3">
      <c r="A243" s="108"/>
      <c r="B243" s="108"/>
      <c r="C243" s="108"/>
    </row>
    <row r="244" spans="1:3">
      <c r="A244" s="108"/>
      <c r="B244" s="108"/>
      <c r="C244" s="108"/>
    </row>
    <row r="245" spans="1:3">
      <c r="A245" s="108"/>
      <c r="B245" s="108"/>
      <c r="C245" s="108"/>
    </row>
    <row r="246" spans="1:3">
      <c r="A246" s="108"/>
      <c r="B246" s="108"/>
      <c r="C246" s="108"/>
    </row>
    <row r="247" spans="1:3">
      <c r="A247" s="108"/>
      <c r="B247" s="108"/>
      <c r="C247" s="108"/>
    </row>
    <row r="248" spans="1:3">
      <c r="A248" s="108"/>
      <c r="B248" s="108"/>
      <c r="C248" s="108"/>
    </row>
    <row r="249" spans="1:3">
      <c r="A249" s="108"/>
      <c r="B249" s="108"/>
      <c r="C249" s="108"/>
    </row>
    <row r="250" spans="1:3">
      <c r="A250" s="108"/>
      <c r="B250" s="108"/>
      <c r="C250" s="108"/>
    </row>
    <row r="251" spans="1:3">
      <c r="A251" s="108"/>
      <c r="B251" s="108"/>
      <c r="C251" s="108"/>
    </row>
    <row r="252" spans="1:3">
      <c r="A252" s="108"/>
      <c r="B252" s="108"/>
      <c r="C252" s="108"/>
    </row>
    <row r="253" spans="1:3">
      <c r="A253" s="108"/>
      <c r="B253" s="108"/>
      <c r="C253" s="108"/>
    </row>
    <row r="254" spans="1:3">
      <c r="A254" s="108"/>
      <c r="B254" s="108"/>
      <c r="C254" s="108"/>
    </row>
    <row r="255" spans="1:3">
      <c r="A255" s="108"/>
      <c r="B255" s="108"/>
      <c r="C255" s="108"/>
    </row>
    <row r="256" spans="1:3">
      <c r="A256" s="108"/>
      <c r="B256" s="108"/>
      <c r="C256" s="108"/>
    </row>
    <row r="257" spans="1:3">
      <c r="A257" s="108"/>
      <c r="B257" s="108"/>
      <c r="C257" s="108"/>
    </row>
    <row r="258" spans="1:3">
      <c r="A258" s="108"/>
      <c r="B258" s="108"/>
      <c r="C258" s="108"/>
    </row>
    <row r="259" spans="1:3">
      <c r="A259" s="108"/>
      <c r="B259" s="108"/>
      <c r="C259" s="108"/>
    </row>
    <row r="260" spans="1:3">
      <c r="A260" s="108"/>
      <c r="B260" s="108"/>
      <c r="C260" s="108"/>
    </row>
    <row r="261" spans="1:3">
      <c r="A261" s="108"/>
      <c r="B261" s="108"/>
      <c r="C261" s="108"/>
    </row>
    <row r="262" spans="1:3">
      <c r="A262" s="108"/>
      <c r="B262" s="108"/>
      <c r="C262" s="108"/>
    </row>
    <row r="263" spans="1:3">
      <c r="A263" s="108"/>
      <c r="B263" s="108"/>
      <c r="C263" s="108"/>
    </row>
    <row r="264" spans="1:3">
      <c r="A264" s="108"/>
      <c r="B264" s="108"/>
      <c r="C264" s="108"/>
    </row>
    <row r="265" spans="1:3">
      <c r="A265" s="108"/>
      <c r="B265" s="108"/>
      <c r="C265" s="108"/>
    </row>
    <row r="266" spans="1:3">
      <c r="A266" s="108"/>
      <c r="B266" s="108"/>
      <c r="C266" s="108"/>
    </row>
    <row r="267" spans="1:3">
      <c r="A267" s="108"/>
      <c r="B267" s="108"/>
      <c r="C267" s="108"/>
    </row>
    <row r="268" spans="1:3">
      <c r="A268" s="108"/>
      <c r="B268" s="108"/>
      <c r="C268" s="108"/>
    </row>
    <row r="269" spans="1:3">
      <c r="A269" s="108"/>
      <c r="B269" s="108"/>
      <c r="C269" s="108"/>
    </row>
    <row r="270" spans="1:3">
      <c r="A270" s="108"/>
      <c r="B270" s="108"/>
      <c r="C270" s="108"/>
    </row>
    <row r="271" spans="1:3">
      <c r="A271" s="108"/>
      <c r="B271" s="108"/>
      <c r="C271" s="108"/>
    </row>
    <row r="272" spans="1:3">
      <c r="A272" s="108"/>
      <c r="B272" s="108"/>
      <c r="C272" s="108"/>
    </row>
    <row r="273" spans="1:3">
      <c r="A273" s="108"/>
      <c r="B273" s="108"/>
      <c r="C273" s="108"/>
    </row>
    <row r="274" spans="1:3">
      <c r="A274" s="108"/>
      <c r="B274" s="108"/>
      <c r="C274" s="108"/>
    </row>
    <row r="275" spans="1:3">
      <c r="A275" s="108"/>
      <c r="B275" s="108"/>
      <c r="C275" s="108"/>
    </row>
    <row r="276" spans="1:3">
      <c r="A276" s="108"/>
      <c r="B276" s="108"/>
      <c r="C276" s="108"/>
    </row>
    <row r="277" spans="1:3">
      <c r="A277" s="108"/>
      <c r="B277" s="108"/>
      <c r="C277" s="108"/>
    </row>
    <row r="278" spans="1:3">
      <c r="A278" s="108"/>
      <c r="B278" s="108"/>
      <c r="C278" s="108"/>
    </row>
    <row r="279" spans="1:3">
      <c r="A279" s="108"/>
      <c r="B279" s="108"/>
      <c r="C279" s="108"/>
    </row>
    <row r="280" spans="1:3">
      <c r="A280" s="108"/>
      <c r="B280" s="108"/>
      <c r="C280" s="108"/>
    </row>
    <row r="281" spans="1:3">
      <c r="A281" s="108"/>
      <c r="B281" s="108"/>
      <c r="C281" s="108"/>
    </row>
    <row r="282" spans="1:3">
      <c r="A282" s="108"/>
      <c r="B282" s="108"/>
      <c r="C282" s="108"/>
    </row>
    <row r="283" spans="1:3">
      <c r="A283" s="108"/>
      <c r="B283" s="108"/>
      <c r="C283" s="108"/>
    </row>
    <row r="284" spans="1:3">
      <c r="A284" s="108"/>
      <c r="B284" s="108"/>
      <c r="C284" s="108"/>
    </row>
    <row r="285" spans="1:3">
      <c r="A285" s="108"/>
      <c r="B285" s="108"/>
      <c r="C285" s="108"/>
    </row>
    <row r="286" spans="1:3">
      <c r="A286" s="108"/>
      <c r="B286" s="108"/>
      <c r="C286" s="108"/>
    </row>
    <row r="287" spans="1:3">
      <c r="A287" s="108"/>
      <c r="B287" s="108"/>
      <c r="C287" s="108"/>
    </row>
    <row r="288" spans="1:3">
      <c r="A288" s="108"/>
      <c r="B288" s="108"/>
      <c r="C288" s="108"/>
    </row>
    <row r="289" spans="1:3">
      <c r="A289" s="108"/>
      <c r="B289" s="108"/>
      <c r="C289" s="108"/>
    </row>
    <row r="290" spans="1:3">
      <c r="A290" s="108"/>
      <c r="B290" s="108"/>
      <c r="C290" s="108"/>
    </row>
    <row r="291" spans="1:3">
      <c r="A291" s="108"/>
      <c r="B291" s="108"/>
      <c r="C291" s="108"/>
    </row>
    <row r="292" spans="1:3">
      <c r="A292" s="108"/>
      <c r="B292" s="108"/>
      <c r="C292" s="108"/>
    </row>
    <row r="293" spans="1:3">
      <c r="A293" s="108"/>
      <c r="B293" s="108"/>
      <c r="C293" s="108"/>
    </row>
    <row r="294" spans="1:3">
      <c r="A294" s="108"/>
      <c r="B294" s="108"/>
      <c r="C294" s="108"/>
    </row>
    <row r="295" spans="1:3">
      <c r="A295" s="108"/>
      <c r="B295" s="108"/>
      <c r="C295" s="108"/>
    </row>
    <row r="296" spans="1:3">
      <c r="A296" s="108"/>
      <c r="B296" s="108"/>
      <c r="C296" s="108"/>
    </row>
    <row r="297" spans="1:3">
      <c r="A297" s="108"/>
      <c r="B297" s="108"/>
      <c r="C297" s="108"/>
    </row>
    <row r="298" spans="1:3">
      <c r="A298" s="108"/>
      <c r="B298" s="108"/>
      <c r="C298" s="108"/>
    </row>
    <row r="299" spans="1:3">
      <c r="A299" s="108"/>
      <c r="B299" s="108"/>
      <c r="C299" s="108"/>
    </row>
    <row r="300" spans="1:3">
      <c r="A300" s="108"/>
      <c r="B300" s="108"/>
      <c r="C300" s="108"/>
    </row>
    <row r="301" spans="1:3">
      <c r="A301" s="108"/>
      <c r="B301" s="108"/>
      <c r="C301" s="108"/>
    </row>
    <row r="302" spans="1:3">
      <c r="A302" s="108"/>
      <c r="B302" s="108"/>
      <c r="C302" s="108"/>
    </row>
    <row r="303" spans="1:3">
      <c r="A303" s="108"/>
      <c r="B303" s="108"/>
      <c r="C303" s="108"/>
    </row>
    <row r="304" spans="1:3">
      <c r="A304" s="108"/>
      <c r="B304" s="108"/>
      <c r="C304" s="108"/>
    </row>
    <row r="305" spans="1:3">
      <c r="A305" s="108"/>
      <c r="B305" s="108"/>
      <c r="C305" s="108"/>
    </row>
    <row r="306" spans="1:3">
      <c r="A306" s="108"/>
      <c r="B306" s="108"/>
      <c r="C306" s="108"/>
    </row>
    <row r="307" spans="1:3">
      <c r="A307" s="108"/>
      <c r="B307" s="108"/>
      <c r="C307" s="108"/>
    </row>
    <row r="308" spans="1:3">
      <c r="A308" s="108"/>
      <c r="B308" s="108"/>
      <c r="C308" s="108"/>
    </row>
    <row r="309" spans="1:3">
      <c r="A309" s="108"/>
      <c r="B309" s="108"/>
      <c r="C309" s="108"/>
    </row>
    <row r="310" spans="1:3">
      <c r="A310" s="108"/>
      <c r="B310" s="108"/>
      <c r="C310" s="108"/>
    </row>
    <row r="311" spans="1:3">
      <c r="A311" s="108"/>
      <c r="B311" s="108"/>
      <c r="C311" s="108"/>
    </row>
    <row r="312" spans="1:3">
      <c r="A312" s="108"/>
      <c r="B312" s="108"/>
      <c r="C312" s="108"/>
    </row>
    <row r="313" spans="1:3">
      <c r="A313" s="108"/>
      <c r="B313" s="108"/>
      <c r="C313" s="108"/>
    </row>
    <row r="314" spans="1:3">
      <c r="A314" s="108"/>
      <c r="B314" s="108"/>
      <c r="C314" s="108"/>
    </row>
    <row r="315" spans="1:3">
      <c r="A315" s="108"/>
      <c r="B315" s="108"/>
      <c r="C315" s="108"/>
    </row>
    <row r="316" spans="1:3">
      <c r="A316" s="108"/>
      <c r="B316" s="108"/>
      <c r="C316" s="108"/>
    </row>
    <row r="317" spans="1:3">
      <c r="A317" s="108"/>
      <c r="B317" s="108"/>
      <c r="C317" s="108"/>
    </row>
    <row r="318" spans="1:3">
      <c r="A318" s="108"/>
      <c r="B318" s="108"/>
      <c r="C318" s="108"/>
    </row>
    <row r="319" spans="1:3">
      <c r="A319" s="108"/>
      <c r="B319" s="108"/>
      <c r="C319" s="108"/>
    </row>
    <row r="320" spans="1:3">
      <c r="A320" s="108"/>
      <c r="B320" s="108"/>
      <c r="C320" s="108"/>
    </row>
    <row r="321" spans="1:3">
      <c r="A321" s="108"/>
      <c r="B321" s="108"/>
      <c r="C321" s="108"/>
    </row>
    <row r="322" spans="1:3">
      <c r="A322" s="108"/>
      <c r="B322" s="108"/>
      <c r="C322" s="108"/>
    </row>
    <row r="323" spans="1:3">
      <c r="A323" s="108"/>
      <c r="B323" s="108"/>
      <c r="C323" s="108"/>
    </row>
    <row r="324" spans="1:3">
      <c r="A324" s="108"/>
      <c r="B324" s="108"/>
      <c r="C324" s="108"/>
    </row>
    <row r="325" spans="1:3">
      <c r="A325" s="108"/>
      <c r="B325" s="108"/>
      <c r="C325" s="108"/>
    </row>
    <row r="326" spans="1:3">
      <c r="A326" s="108"/>
      <c r="B326" s="108"/>
      <c r="C326" s="108"/>
    </row>
    <row r="327" spans="1:3">
      <c r="A327" s="108"/>
      <c r="B327" s="108"/>
      <c r="C327" s="108"/>
    </row>
    <row r="328" spans="1:3">
      <c r="A328" s="108"/>
      <c r="B328" s="108"/>
      <c r="C328" s="108"/>
    </row>
    <row r="329" spans="1:3">
      <c r="A329" s="108"/>
      <c r="B329" s="108"/>
      <c r="C329" s="108"/>
    </row>
    <row r="330" spans="1:3">
      <c r="A330" s="108"/>
      <c r="B330" s="108"/>
      <c r="C330" s="108"/>
    </row>
    <row r="331" spans="1:3">
      <c r="A331" s="108"/>
      <c r="B331" s="108"/>
      <c r="C331" s="108"/>
    </row>
    <row r="332" spans="1:3">
      <c r="A332" s="108"/>
      <c r="B332" s="108"/>
      <c r="C332" s="108"/>
    </row>
    <row r="333" spans="1:3">
      <c r="A333" s="108"/>
      <c r="B333" s="108"/>
      <c r="C333" s="108"/>
    </row>
    <row r="334" spans="1:3">
      <c r="A334" s="108"/>
      <c r="B334" s="108"/>
      <c r="C334" s="108"/>
    </row>
    <row r="335" spans="1:3">
      <c r="A335" s="108"/>
      <c r="B335" s="108"/>
      <c r="C335" s="108"/>
    </row>
    <row r="336" spans="1:3">
      <c r="A336" s="108"/>
      <c r="B336" s="108"/>
      <c r="C336" s="108"/>
    </row>
    <row r="337" spans="1:3">
      <c r="A337" s="108"/>
      <c r="B337" s="108"/>
      <c r="C337" s="108"/>
    </row>
    <row r="338" spans="1:3">
      <c r="A338" s="108"/>
      <c r="B338" s="108"/>
      <c r="C338" s="108"/>
    </row>
    <row r="339" spans="1:3">
      <c r="A339" s="108"/>
      <c r="B339" s="108"/>
      <c r="C339" s="108"/>
    </row>
    <row r="340" spans="1:3">
      <c r="A340" s="108"/>
      <c r="B340" s="108"/>
      <c r="C340" s="108"/>
    </row>
    <row r="341" spans="1:3">
      <c r="A341" s="108"/>
      <c r="B341" s="108"/>
      <c r="C341" s="108"/>
    </row>
    <row r="342" spans="1:3">
      <c r="A342" s="108"/>
      <c r="B342" s="108"/>
      <c r="C342" s="108"/>
    </row>
    <row r="343" spans="1:3">
      <c r="A343" s="108"/>
      <c r="B343" s="108"/>
      <c r="C343" s="108"/>
    </row>
    <row r="344" spans="1:3">
      <c r="A344" s="108"/>
      <c r="B344" s="108"/>
      <c r="C344" s="108"/>
    </row>
    <row r="345" spans="1:3">
      <c r="A345" s="108"/>
      <c r="B345" s="108"/>
      <c r="C345" s="108"/>
    </row>
    <row r="346" spans="1:3">
      <c r="A346" s="108"/>
      <c r="B346" s="108"/>
      <c r="C346" s="108"/>
    </row>
    <row r="347" spans="1:3">
      <c r="A347" s="108"/>
      <c r="B347" s="108"/>
      <c r="C347" s="108"/>
    </row>
    <row r="348" spans="1:3">
      <c r="A348" s="108"/>
      <c r="B348" s="108"/>
      <c r="C348" s="108"/>
    </row>
    <row r="349" spans="1:3">
      <c r="A349" s="108"/>
      <c r="B349" s="108"/>
      <c r="C349" s="108"/>
    </row>
    <row r="350" spans="1:3">
      <c r="A350" s="108"/>
      <c r="B350" s="108"/>
      <c r="C350" s="108"/>
    </row>
    <row r="351" spans="1:3">
      <c r="A351" s="108"/>
      <c r="B351" s="108"/>
      <c r="C351" s="108"/>
    </row>
    <row r="352" spans="1:3">
      <c r="A352" s="108"/>
      <c r="B352" s="108"/>
      <c r="C352" s="108"/>
    </row>
    <row r="353" spans="1:3">
      <c r="A353" s="108"/>
      <c r="B353" s="108"/>
      <c r="C353" s="108"/>
    </row>
    <row r="354" spans="1:3">
      <c r="A354" s="108"/>
      <c r="B354" s="108"/>
      <c r="C354" s="108"/>
    </row>
    <row r="355" spans="1:3">
      <c r="A355" s="108"/>
      <c r="B355" s="108"/>
      <c r="C355" s="108"/>
    </row>
    <row r="356" spans="1:3">
      <c r="A356" s="108"/>
      <c r="B356" s="108"/>
      <c r="C356" s="108"/>
    </row>
    <row r="357" spans="1:3">
      <c r="A357" s="108"/>
      <c r="B357" s="108"/>
      <c r="C357" s="108"/>
    </row>
    <row r="358" spans="1:3">
      <c r="A358" s="108"/>
      <c r="B358" s="108"/>
      <c r="C358" s="108"/>
    </row>
    <row r="359" spans="1:3">
      <c r="A359" s="108"/>
      <c r="B359" s="108"/>
      <c r="C359" s="108"/>
    </row>
    <row r="360" spans="1:3">
      <c r="A360" s="108"/>
      <c r="B360" s="108"/>
      <c r="C360" s="108"/>
    </row>
    <row r="361" spans="1:3">
      <c r="A361" s="108"/>
      <c r="B361" s="108"/>
      <c r="C361" s="108"/>
    </row>
    <row r="362" spans="1:3">
      <c r="A362" s="108"/>
      <c r="B362" s="108"/>
      <c r="C362" s="108"/>
    </row>
    <row r="363" spans="1:3">
      <c r="A363" s="108"/>
      <c r="B363" s="108"/>
      <c r="C363" s="108"/>
    </row>
    <row r="364" spans="1:3">
      <c r="A364" s="108"/>
      <c r="B364" s="108"/>
      <c r="C364" s="108"/>
    </row>
    <row r="365" spans="1:3">
      <c r="A365" s="108"/>
      <c r="B365" s="108"/>
      <c r="C365" s="108"/>
    </row>
    <row r="366" spans="1:3">
      <c r="A366" s="108"/>
      <c r="B366" s="108"/>
      <c r="C366" s="108"/>
    </row>
    <row r="367" spans="1:3">
      <c r="A367" s="108"/>
      <c r="B367" s="108"/>
      <c r="C367" s="108"/>
    </row>
    <row r="368" spans="1:3">
      <c r="A368" s="108"/>
      <c r="B368" s="108"/>
      <c r="C368" s="108"/>
    </row>
    <row r="369" spans="1:3">
      <c r="A369" s="108"/>
      <c r="B369" s="108"/>
      <c r="C369" s="108"/>
    </row>
    <row r="370" spans="1:3">
      <c r="A370" s="108"/>
      <c r="B370" s="108"/>
      <c r="C370" s="108"/>
    </row>
    <row r="371" spans="1:3">
      <c r="A371" s="108"/>
      <c r="B371" s="108"/>
      <c r="C371" s="108"/>
    </row>
    <row r="372" spans="1:3">
      <c r="A372" s="108"/>
      <c r="B372" s="108"/>
      <c r="C372" s="108"/>
    </row>
    <row r="373" spans="1:3">
      <c r="A373" s="108"/>
      <c r="B373" s="108"/>
      <c r="C373" s="108"/>
    </row>
    <row r="374" spans="1:3">
      <c r="A374" s="108"/>
      <c r="B374" s="108"/>
      <c r="C374" s="108"/>
    </row>
    <row r="375" spans="1:3">
      <c r="A375" s="108"/>
      <c r="B375" s="108"/>
      <c r="C375" s="108"/>
    </row>
    <row r="376" spans="1:3">
      <c r="A376" s="108"/>
      <c r="B376" s="108"/>
      <c r="C376" s="108"/>
    </row>
    <row r="377" spans="1:3">
      <c r="A377" s="108"/>
      <c r="B377" s="108"/>
      <c r="C377" s="108"/>
    </row>
    <row r="378" spans="1:3">
      <c r="A378" s="108"/>
      <c r="B378" s="108"/>
      <c r="C378" s="108"/>
    </row>
    <row r="379" spans="1:3">
      <c r="A379" s="108"/>
      <c r="B379" s="108"/>
      <c r="C379" s="108"/>
    </row>
    <row r="380" spans="1:3">
      <c r="A380" s="108"/>
      <c r="B380" s="108"/>
      <c r="C380" s="108"/>
    </row>
    <row r="381" spans="1:3">
      <c r="A381" s="108"/>
      <c r="B381" s="108"/>
      <c r="C381" s="108"/>
    </row>
    <row r="382" spans="1:3">
      <c r="A382" s="108"/>
      <c r="B382" s="108"/>
      <c r="C382" s="108"/>
    </row>
    <row r="383" spans="1:3">
      <c r="A383" s="108"/>
      <c r="B383" s="108"/>
      <c r="C383" s="108"/>
    </row>
    <row r="384" spans="1:3">
      <c r="A384" s="108"/>
      <c r="B384" s="108"/>
      <c r="C384" s="108"/>
    </row>
    <row r="385" spans="1:3">
      <c r="A385" s="108"/>
      <c r="B385" s="108"/>
      <c r="C385" s="108"/>
    </row>
    <row r="386" spans="1:3">
      <c r="A386" s="108"/>
      <c r="B386" s="108"/>
      <c r="C386" s="108"/>
    </row>
    <row r="387" spans="1:3">
      <c r="A387" s="108"/>
      <c r="B387" s="108"/>
      <c r="C387" s="108"/>
    </row>
    <row r="388" spans="1:3">
      <c r="A388" s="108"/>
      <c r="B388" s="108"/>
      <c r="C388" s="108"/>
    </row>
    <row r="389" spans="1:3">
      <c r="A389" s="108"/>
      <c r="B389" s="108"/>
      <c r="C389" s="108"/>
    </row>
    <row r="390" spans="1:3">
      <c r="A390" s="108"/>
      <c r="B390" s="108"/>
      <c r="C390" s="108"/>
    </row>
    <row r="391" spans="1:3">
      <c r="A391" s="108"/>
      <c r="B391" s="108"/>
      <c r="C391" s="108"/>
    </row>
    <row r="392" spans="1:3">
      <c r="A392" s="108"/>
      <c r="B392" s="108"/>
      <c r="C392" s="108"/>
    </row>
    <row r="393" spans="1:3">
      <c r="A393" s="108"/>
      <c r="B393" s="108"/>
      <c r="C393" s="108"/>
    </row>
    <row r="394" spans="1:3">
      <c r="A394" s="108"/>
      <c r="B394" s="108"/>
      <c r="C394" s="108"/>
    </row>
    <row r="395" spans="1:3">
      <c r="A395" s="108"/>
      <c r="B395" s="108"/>
      <c r="C395" s="108"/>
    </row>
    <row r="396" spans="1:3">
      <c r="A396" s="108"/>
      <c r="B396" s="108"/>
      <c r="C396" s="108"/>
    </row>
    <row r="397" spans="1:3">
      <c r="A397" s="108"/>
      <c r="B397" s="108"/>
      <c r="C397" s="108"/>
    </row>
    <row r="398" spans="1:3">
      <c r="A398" s="108"/>
      <c r="B398" s="108"/>
      <c r="C398" s="108"/>
    </row>
    <row r="399" spans="1:3">
      <c r="A399" s="108"/>
      <c r="B399" s="108"/>
      <c r="C399" s="108"/>
    </row>
    <row r="400" spans="1:3">
      <c r="A400" s="108"/>
      <c r="B400" s="108"/>
      <c r="C400" s="108"/>
    </row>
    <row r="401" spans="1:3">
      <c r="A401" s="108"/>
      <c r="B401" s="108"/>
      <c r="C401" s="108"/>
    </row>
    <row r="402" spans="1:3">
      <c r="A402" s="108"/>
      <c r="B402" s="108"/>
      <c r="C402" s="108"/>
    </row>
    <row r="403" spans="1:3">
      <c r="A403" s="108"/>
      <c r="B403" s="108"/>
      <c r="C403" s="108"/>
    </row>
    <row r="404" spans="1:3">
      <c r="A404" s="108"/>
      <c r="B404" s="108"/>
      <c r="C404" s="108"/>
    </row>
    <row r="405" spans="1:3">
      <c r="A405" s="108"/>
      <c r="B405" s="108"/>
      <c r="C405" s="108"/>
    </row>
    <row r="406" spans="1:3">
      <c r="A406" s="108"/>
      <c r="B406" s="108"/>
      <c r="C406" s="108"/>
    </row>
    <row r="407" spans="1:3">
      <c r="A407" s="108"/>
      <c r="B407" s="108"/>
      <c r="C407" s="108"/>
    </row>
    <row r="408" spans="1:3">
      <c r="A408" s="108"/>
      <c r="B408" s="108"/>
      <c r="C408" s="108"/>
    </row>
    <row r="409" spans="1:3">
      <c r="A409" s="108"/>
      <c r="B409" s="108"/>
      <c r="C409" s="108"/>
    </row>
    <row r="410" spans="1:3">
      <c r="A410" s="108"/>
      <c r="B410" s="108"/>
      <c r="C410" s="108"/>
    </row>
    <row r="411" spans="1:3">
      <c r="A411" s="108"/>
      <c r="B411" s="108"/>
      <c r="C411" s="108"/>
    </row>
    <row r="412" spans="1:3">
      <c r="A412" s="108"/>
      <c r="B412" s="108"/>
      <c r="C412" s="108"/>
    </row>
    <row r="413" spans="1:3">
      <c r="A413" s="108"/>
      <c r="B413" s="108"/>
      <c r="C413" s="108"/>
    </row>
    <row r="414" spans="1:3">
      <c r="A414" s="108"/>
      <c r="B414" s="108"/>
      <c r="C414" s="108"/>
    </row>
    <row r="415" spans="1:3">
      <c r="A415" s="108"/>
      <c r="B415" s="108"/>
      <c r="C415" s="108"/>
    </row>
    <row r="416" spans="1:3">
      <c r="A416" s="108"/>
      <c r="B416" s="108"/>
      <c r="C416" s="108"/>
    </row>
    <row r="417" spans="1:3">
      <c r="A417" s="108"/>
      <c r="B417" s="108"/>
      <c r="C417" s="108"/>
    </row>
    <row r="418" spans="1:3">
      <c r="A418" s="108"/>
      <c r="B418" s="108"/>
      <c r="C418" s="108"/>
    </row>
    <row r="419" spans="1:3">
      <c r="A419" s="108"/>
      <c r="B419" s="108"/>
      <c r="C419" s="108"/>
    </row>
    <row r="420" spans="1:3">
      <c r="A420" s="108"/>
      <c r="B420" s="108"/>
      <c r="C420" s="108"/>
    </row>
    <row r="421" spans="1:3">
      <c r="A421" s="108"/>
      <c r="B421" s="108"/>
      <c r="C421" s="108"/>
    </row>
    <row r="422" spans="1:3">
      <c r="A422" s="108"/>
      <c r="B422" s="108"/>
      <c r="C422" s="108"/>
    </row>
    <row r="423" spans="1:3">
      <c r="A423" s="108"/>
      <c r="B423" s="108"/>
      <c r="C423" s="108"/>
    </row>
    <row r="424" spans="1:3">
      <c r="A424" s="108"/>
      <c r="B424" s="108"/>
      <c r="C424" s="108"/>
    </row>
    <row r="425" spans="1:3">
      <c r="A425" s="108"/>
      <c r="B425" s="108"/>
      <c r="C425" s="108"/>
    </row>
    <row r="426" spans="1:3">
      <c r="A426" s="108"/>
      <c r="B426" s="108"/>
      <c r="C426" s="108"/>
    </row>
    <row r="427" spans="1:3">
      <c r="A427" s="108"/>
      <c r="B427" s="108"/>
      <c r="C427" s="108"/>
    </row>
    <row r="428" spans="1:3">
      <c r="A428" s="108"/>
      <c r="B428" s="108"/>
      <c r="C428" s="108"/>
    </row>
    <row r="429" spans="1:3">
      <c r="A429" s="108"/>
      <c r="B429" s="108"/>
      <c r="C429" s="108"/>
    </row>
    <row r="430" spans="1:3">
      <c r="A430" s="108"/>
      <c r="B430" s="108"/>
      <c r="C430" s="108"/>
    </row>
    <row r="431" spans="1:3">
      <c r="A431" s="108"/>
      <c r="B431" s="108"/>
      <c r="C431" s="108"/>
    </row>
    <row r="432" spans="1:3">
      <c r="A432" s="108"/>
      <c r="B432" s="108"/>
      <c r="C432" s="108"/>
    </row>
    <row r="433" spans="1:3">
      <c r="A433" s="108"/>
      <c r="B433" s="108"/>
      <c r="C433" s="108"/>
    </row>
    <row r="434" spans="1:3">
      <c r="A434" s="108"/>
      <c r="B434" s="108"/>
      <c r="C434" s="108"/>
    </row>
    <row r="435" spans="1:3">
      <c r="A435" s="108"/>
      <c r="B435" s="108"/>
      <c r="C435" s="108"/>
    </row>
    <row r="436" spans="1:3">
      <c r="A436" s="108"/>
      <c r="B436" s="108"/>
      <c r="C436" s="108"/>
    </row>
    <row r="437" spans="1:3">
      <c r="A437" s="108"/>
      <c r="B437" s="108"/>
      <c r="C437" s="108"/>
    </row>
    <row r="438" spans="1:3">
      <c r="A438" s="108"/>
      <c r="B438" s="108"/>
      <c r="C438" s="108"/>
    </row>
    <row r="439" spans="1:3">
      <c r="A439" s="108"/>
      <c r="B439" s="108"/>
      <c r="C439" s="108"/>
    </row>
    <row r="440" spans="1:3">
      <c r="A440" s="108"/>
      <c r="B440" s="108"/>
      <c r="C440" s="108"/>
    </row>
    <row r="441" spans="1:3">
      <c r="A441" s="108"/>
      <c r="B441" s="108"/>
      <c r="C441" s="108"/>
    </row>
    <row r="442" spans="1:3">
      <c r="A442" s="108"/>
      <c r="B442" s="108"/>
      <c r="C442" s="108"/>
    </row>
    <row r="443" spans="1:3">
      <c r="A443" s="108"/>
      <c r="B443" s="108"/>
      <c r="C443" s="108"/>
    </row>
    <row r="444" spans="1:3">
      <c r="A444" s="108"/>
      <c r="B444" s="108"/>
      <c r="C444" s="108"/>
    </row>
    <row r="445" spans="1:3">
      <c r="A445" s="108"/>
      <c r="B445" s="108"/>
      <c r="C445" s="108"/>
    </row>
    <row r="446" spans="1:3">
      <c r="A446" s="108"/>
      <c r="B446" s="108"/>
      <c r="C446" s="108"/>
    </row>
    <row r="447" spans="1:3">
      <c r="A447" s="108"/>
      <c r="B447" s="108"/>
      <c r="C447" s="108"/>
    </row>
    <row r="448" spans="1:3">
      <c r="A448" s="108"/>
      <c r="B448" s="108"/>
      <c r="C448" s="108"/>
    </row>
    <row r="449" spans="1:3">
      <c r="A449" s="108"/>
      <c r="B449" s="108"/>
      <c r="C449" s="108"/>
    </row>
    <row r="450" spans="1:3">
      <c r="A450" s="108"/>
      <c r="B450" s="108"/>
      <c r="C450" s="108"/>
    </row>
    <row r="451" spans="1:3">
      <c r="A451" s="108"/>
      <c r="B451" s="108"/>
      <c r="C451" s="108"/>
    </row>
    <row r="452" spans="1:3">
      <c r="A452" s="108"/>
      <c r="B452" s="108"/>
      <c r="C452" s="108"/>
    </row>
    <row r="453" spans="1:3">
      <c r="A453" s="108"/>
      <c r="B453" s="108"/>
      <c r="C453" s="108"/>
    </row>
    <row r="454" spans="1:3">
      <c r="A454" s="108"/>
      <c r="B454" s="108"/>
      <c r="C454" s="108"/>
    </row>
    <row r="455" spans="1:3">
      <c r="A455" s="108"/>
      <c r="B455" s="108"/>
      <c r="C455" s="108"/>
    </row>
    <row r="456" spans="1:3">
      <c r="A456" s="108"/>
      <c r="B456" s="108"/>
      <c r="C456" s="108"/>
    </row>
    <row r="457" spans="1:3">
      <c r="A457" s="108"/>
      <c r="B457" s="108"/>
      <c r="C457" s="108"/>
    </row>
    <row r="458" spans="1:3">
      <c r="A458" s="108"/>
      <c r="B458" s="108"/>
      <c r="C458" s="108"/>
    </row>
    <row r="459" spans="1:3">
      <c r="A459" s="108"/>
      <c r="B459" s="108"/>
      <c r="C459" s="108"/>
    </row>
    <row r="460" spans="1:3">
      <c r="A460" s="108"/>
      <c r="B460" s="108"/>
      <c r="C460" s="108"/>
    </row>
    <row r="461" spans="1:3">
      <c r="A461" s="108"/>
      <c r="B461" s="108"/>
      <c r="C461" s="108"/>
    </row>
    <row r="462" spans="1:3">
      <c r="A462" s="108"/>
      <c r="B462" s="108"/>
      <c r="C462" s="108"/>
    </row>
    <row r="463" spans="1:3">
      <c r="A463" s="108"/>
      <c r="B463" s="108"/>
      <c r="C463" s="108"/>
    </row>
    <row r="464" spans="1:3">
      <c r="A464" s="108"/>
      <c r="B464" s="108"/>
      <c r="C464" s="108"/>
    </row>
    <row r="465" spans="1:3">
      <c r="A465" s="108"/>
      <c r="B465" s="108"/>
      <c r="C465" s="108"/>
    </row>
    <row r="466" spans="1:3">
      <c r="A466" s="108"/>
      <c r="B466" s="108"/>
      <c r="C466" s="108"/>
    </row>
    <row r="467" spans="1:3">
      <c r="A467" s="108"/>
      <c r="B467" s="108"/>
      <c r="C467" s="108"/>
    </row>
    <row r="468" spans="1:3">
      <c r="A468" s="108"/>
      <c r="B468" s="108"/>
      <c r="C468" s="108"/>
    </row>
    <row r="469" spans="1:3">
      <c r="A469" s="108"/>
      <c r="B469" s="108"/>
      <c r="C469" s="108"/>
    </row>
    <row r="470" spans="1:3">
      <c r="A470" s="108"/>
      <c r="B470" s="108"/>
      <c r="C470" s="108"/>
    </row>
    <row r="471" spans="1:3">
      <c r="A471" s="108"/>
      <c r="B471" s="108"/>
      <c r="C471" s="108"/>
    </row>
    <row r="472" spans="1:3">
      <c r="A472" s="108"/>
      <c r="B472" s="108"/>
      <c r="C472" s="108"/>
    </row>
    <row r="473" spans="1:3">
      <c r="A473" s="108"/>
      <c r="B473" s="108"/>
      <c r="C473" s="108"/>
    </row>
    <row r="474" spans="1:3">
      <c r="A474" s="108"/>
      <c r="B474" s="108"/>
      <c r="C474" s="108"/>
    </row>
    <row r="475" spans="1:3">
      <c r="A475" s="108"/>
      <c r="B475" s="108"/>
      <c r="C475" s="108"/>
    </row>
    <row r="476" spans="1:3">
      <c r="A476" s="108"/>
      <c r="B476" s="108"/>
      <c r="C476" s="108"/>
    </row>
    <row r="477" spans="1:3">
      <c r="A477" s="108"/>
      <c r="B477" s="108"/>
      <c r="C477" s="108"/>
    </row>
    <row r="478" spans="1:3">
      <c r="A478" s="108"/>
      <c r="B478" s="108"/>
      <c r="C478" s="108"/>
    </row>
    <row r="479" spans="1:3">
      <c r="A479" s="108"/>
      <c r="B479" s="108"/>
      <c r="C479" s="108"/>
    </row>
    <row r="480" spans="1:3">
      <c r="A480" s="108"/>
      <c r="B480" s="108"/>
      <c r="C480" s="108"/>
    </row>
    <row r="481" spans="1:3">
      <c r="A481" s="108"/>
      <c r="B481" s="108"/>
      <c r="C481" s="108"/>
    </row>
    <row r="482" spans="1:3">
      <c r="A482" s="108"/>
      <c r="B482" s="108"/>
      <c r="C482" s="108"/>
    </row>
    <row r="483" spans="1:3">
      <c r="A483" s="108"/>
      <c r="B483" s="108"/>
      <c r="C483" s="108"/>
    </row>
    <row r="484" spans="1:3">
      <c r="A484" s="108"/>
      <c r="B484" s="108"/>
      <c r="C484" s="108"/>
    </row>
    <row r="485" spans="1:3">
      <c r="A485" s="108"/>
      <c r="B485" s="108"/>
      <c r="C485" s="108"/>
    </row>
    <row r="486" spans="1:3">
      <c r="A486" s="108"/>
      <c r="B486" s="108"/>
      <c r="C486" s="108"/>
    </row>
    <row r="487" spans="1:3">
      <c r="A487" s="108"/>
      <c r="B487" s="108"/>
      <c r="C487" s="108"/>
    </row>
    <row r="488" spans="1:3">
      <c r="A488" s="108"/>
      <c r="B488" s="108"/>
      <c r="C488" s="108"/>
    </row>
    <row r="489" spans="1:3">
      <c r="A489" s="108"/>
      <c r="B489" s="108"/>
      <c r="C489" s="108"/>
    </row>
    <row r="490" spans="1:3">
      <c r="A490" s="108"/>
      <c r="B490" s="108"/>
      <c r="C490" s="108"/>
    </row>
    <row r="491" spans="1:3">
      <c r="A491" s="108"/>
      <c r="B491" s="108"/>
      <c r="C491" s="108"/>
    </row>
    <row r="492" spans="1:3">
      <c r="A492" s="108"/>
      <c r="B492" s="108"/>
      <c r="C492" s="108"/>
    </row>
    <row r="493" spans="1:3">
      <c r="A493" s="108"/>
      <c r="B493" s="108"/>
      <c r="C493" s="108"/>
    </row>
    <row r="494" spans="1:3">
      <c r="A494" s="108"/>
      <c r="B494" s="108"/>
      <c r="C494" s="108"/>
    </row>
    <row r="495" spans="1:3">
      <c r="A495" s="108"/>
      <c r="B495" s="108"/>
      <c r="C495" s="108"/>
    </row>
    <row r="496" spans="1:3">
      <c r="A496" s="108"/>
      <c r="B496" s="108"/>
      <c r="C496" s="108"/>
    </row>
    <row r="497" spans="1:3">
      <c r="A497" s="108"/>
      <c r="B497" s="108"/>
      <c r="C497" s="108"/>
    </row>
    <row r="498" spans="1:3">
      <c r="A498" s="108"/>
      <c r="B498" s="108"/>
      <c r="C498" s="108"/>
    </row>
    <row r="499" spans="1:3">
      <c r="A499" s="108"/>
      <c r="B499" s="108"/>
      <c r="C499" s="108"/>
    </row>
    <row r="500" spans="1:3">
      <c r="A500" s="108"/>
      <c r="B500" s="108"/>
      <c r="C500" s="108"/>
    </row>
    <row r="501" spans="1:3">
      <c r="A501" s="108"/>
      <c r="B501" s="108"/>
      <c r="C501" s="108"/>
    </row>
    <row r="502" spans="1:3">
      <c r="A502" s="108"/>
      <c r="B502" s="108"/>
      <c r="C502" s="108"/>
    </row>
    <row r="503" spans="1:3">
      <c r="A503" s="108"/>
      <c r="B503" s="108"/>
      <c r="C503" s="108"/>
    </row>
    <row r="504" spans="1:3">
      <c r="A504" s="108"/>
      <c r="B504" s="108"/>
      <c r="C504" s="108"/>
    </row>
    <row r="505" spans="1:3">
      <c r="A505" s="108"/>
      <c r="B505" s="108"/>
      <c r="C505" s="108"/>
    </row>
    <row r="506" spans="1:3">
      <c r="A506" s="108"/>
      <c r="B506" s="108"/>
      <c r="C506" s="108"/>
    </row>
    <row r="507" spans="1:3">
      <c r="A507" s="108"/>
      <c r="B507" s="108"/>
      <c r="C507" s="108"/>
    </row>
    <row r="508" spans="1:3">
      <c r="A508" s="108"/>
      <c r="B508" s="108"/>
      <c r="C508" s="108"/>
    </row>
    <row r="509" spans="1:3">
      <c r="A509" s="108"/>
      <c r="B509" s="108"/>
      <c r="C509" s="108"/>
    </row>
    <row r="510" spans="1:3">
      <c r="A510" s="108"/>
      <c r="B510" s="108"/>
      <c r="C510" s="108"/>
    </row>
    <row r="511" spans="1:3">
      <c r="A511" s="108"/>
      <c r="B511" s="108"/>
      <c r="C511" s="108"/>
    </row>
    <row r="512" spans="1:3">
      <c r="A512" s="108"/>
      <c r="B512" s="108"/>
      <c r="C512" s="108"/>
    </row>
    <row r="513" spans="1:3">
      <c r="A513" s="108"/>
      <c r="B513" s="108"/>
      <c r="C513" s="108"/>
    </row>
    <row r="514" spans="1:3">
      <c r="A514" s="108"/>
      <c r="B514" s="108"/>
      <c r="C514" s="108"/>
    </row>
    <row r="515" spans="1:3">
      <c r="A515" s="108"/>
      <c r="B515" s="108"/>
      <c r="C515" s="108"/>
    </row>
    <row r="516" spans="1:3">
      <c r="A516" s="108"/>
      <c r="B516" s="108"/>
      <c r="C516" s="108"/>
    </row>
    <row r="517" spans="1:3">
      <c r="A517" s="108"/>
      <c r="B517" s="108"/>
      <c r="C517" s="108"/>
    </row>
    <row r="518" spans="1:3">
      <c r="A518" s="108"/>
      <c r="B518" s="108"/>
      <c r="C518" s="108"/>
    </row>
    <row r="519" spans="1:3">
      <c r="A519" s="108"/>
      <c r="B519" s="108"/>
      <c r="C519" s="108"/>
    </row>
    <row r="520" spans="1:3">
      <c r="A520" s="108"/>
      <c r="B520" s="108"/>
      <c r="C520" s="108"/>
    </row>
    <row r="521" spans="1:3">
      <c r="A521" s="108"/>
      <c r="B521" s="108"/>
      <c r="C521" s="108"/>
    </row>
    <row r="522" spans="1:3">
      <c r="A522" s="108"/>
      <c r="B522" s="108"/>
      <c r="C522" s="108"/>
    </row>
    <row r="523" spans="1:3">
      <c r="A523" s="108"/>
      <c r="B523" s="108"/>
      <c r="C523" s="108"/>
    </row>
    <row r="524" spans="1:3">
      <c r="A524" s="108"/>
      <c r="B524" s="108"/>
      <c r="C524" s="108"/>
    </row>
    <row r="525" spans="1:3">
      <c r="A525" s="108"/>
      <c r="B525" s="108"/>
      <c r="C525" s="108"/>
    </row>
    <row r="526" spans="1:3">
      <c r="A526" s="108"/>
      <c r="B526" s="108"/>
      <c r="C526" s="108"/>
    </row>
    <row r="527" spans="1:3">
      <c r="A527" s="108"/>
      <c r="B527" s="108"/>
      <c r="C527" s="108"/>
    </row>
    <row r="528" spans="1:3">
      <c r="A528" s="108"/>
      <c r="B528" s="108"/>
      <c r="C528" s="108"/>
    </row>
    <row r="529" spans="1:3">
      <c r="A529" s="108"/>
      <c r="B529" s="108"/>
      <c r="C529" s="108"/>
    </row>
    <row r="530" spans="1:3">
      <c r="A530" s="108"/>
      <c r="B530" s="108"/>
      <c r="C530" s="108"/>
    </row>
    <row r="531" spans="1:3">
      <c r="A531" s="108"/>
      <c r="B531" s="108"/>
      <c r="C531" s="108"/>
    </row>
    <row r="532" spans="1:3">
      <c r="A532" s="108"/>
      <c r="B532" s="108"/>
      <c r="C532" s="108"/>
    </row>
    <row r="533" spans="1:3">
      <c r="A533" s="108"/>
      <c r="B533" s="108"/>
      <c r="C533" s="108"/>
    </row>
    <row r="534" spans="1:3">
      <c r="A534" s="108"/>
      <c r="B534" s="108"/>
      <c r="C534" s="108"/>
    </row>
    <row r="535" spans="1:3">
      <c r="A535" s="108"/>
      <c r="B535" s="108"/>
      <c r="C535" s="108"/>
    </row>
    <row r="536" spans="1:3">
      <c r="A536" s="108"/>
      <c r="B536" s="108"/>
      <c r="C536" s="108"/>
    </row>
    <row r="537" spans="1:3">
      <c r="A537" s="108"/>
      <c r="B537" s="108"/>
      <c r="C537" s="108"/>
    </row>
    <row r="538" spans="1:3">
      <c r="A538" s="108"/>
      <c r="B538" s="108"/>
      <c r="C538" s="108"/>
    </row>
    <row r="539" spans="1:3">
      <c r="A539" s="108"/>
      <c r="B539" s="108"/>
      <c r="C539" s="108"/>
    </row>
    <row r="540" spans="1:3">
      <c r="A540" s="108"/>
      <c r="B540" s="108"/>
      <c r="C540" s="108"/>
    </row>
    <row r="541" spans="1:3">
      <c r="A541" s="108"/>
      <c r="B541" s="108"/>
      <c r="C541" s="108"/>
    </row>
    <row r="542" spans="1:3">
      <c r="A542" s="108"/>
      <c r="B542" s="108"/>
      <c r="C542" s="108"/>
    </row>
    <row r="543" spans="1:3">
      <c r="A543" s="108"/>
      <c r="B543" s="108"/>
      <c r="C543" s="108"/>
    </row>
    <row r="544" spans="1:3">
      <c r="A544" s="108"/>
      <c r="B544" s="108"/>
      <c r="C544" s="108"/>
    </row>
    <row r="545" spans="1:3">
      <c r="A545" s="108"/>
      <c r="B545" s="108"/>
      <c r="C545" s="108"/>
    </row>
    <row r="546" spans="1:3">
      <c r="A546" s="108"/>
      <c r="B546" s="108"/>
      <c r="C546" s="108"/>
    </row>
    <row r="547" spans="1:3">
      <c r="A547" s="108"/>
      <c r="B547" s="108"/>
      <c r="C547" s="108"/>
    </row>
    <row r="548" spans="1:3">
      <c r="A548" s="108"/>
      <c r="B548" s="108"/>
      <c r="C548" s="108"/>
    </row>
    <row r="549" spans="1:3">
      <c r="A549" s="108"/>
      <c r="B549" s="108"/>
      <c r="C549" s="108"/>
    </row>
    <row r="550" spans="1:3">
      <c r="A550" s="108"/>
      <c r="B550" s="108"/>
      <c r="C550" s="108"/>
    </row>
    <row r="551" spans="1:3">
      <c r="A551" s="108"/>
      <c r="B551" s="108"/>
      <c r="C551" s="108"/>
    </row>
    <row r="552" spans="1:3">
      <c r="A552" s="108"/>
      <c r="B552" s="108"/>
      <c r="C552" s="108"/>
    </row>
    <row r="553" spans="1:3">
      <c r="A553" s="108"/>
      <c r="B553" s="108"/>
      <c r="C553" s="108"/>
    </row>
    <row r="554" spans="1:3">
      <c r="A554" s="108"/>
      <c r="B554" s="108"/>
      <c r="C554" s="108"/>
    </row>
    <row r="555" spans="1:3">
      <c r="A555" s="108"/>
      <c r="B555" s="108"/>
      <c r="C555" s="108"/>
    </row>
    <row r="556" spans="1:3">
      <c r="A556" s="108"/>
      <c r="B556" s="108"/>
      <c r="C556" s="108"/>
    </row>
    <row r="557" spans="1:3">
      <c r="A557" s="108"/>
      <c r="B557" s="108"/>
      <c r="C557" s="108"/>
    </row>
    <row r="558" spans="1:3">
      <c r="A558" s="108"/>
      <c r="B558" s="108"/>
      <c r="C558" s="108"/>
    </row>
    <row r="559" spans="1:3">
      <c r="A559" s="108"/>
      <c r="B559" s="108"/>
      <c r="C559" s="108"/>
    </row>
    <row r="560" spans="1:3">
      <c r="A560" s="108"/>
      <c r="B560" s="108"/>
      <c r="C560" s="108"/>
    </row>
    <row r="561" spans="1:3">
      <c r="A561" s="108"/>
      <c r="B561" s="108"/>
      <c r="C561" s="108"/>
    </row>
    <row r="562" spans="1:3">
      <c r="A562" s="108"/>
      <c r="B562" s="108"/>
      <c r="C562" s="108"/>
    </row>
    <row r="563" spans="1:3">
      <c r="A563" s="108"/>
      <c r="B563" s="108"/>
      <c r="C563" s="108"/>
    </row>
    <row r="564" spans="1:3">
      <c r="A564" s="108"/>
      <c r="B564" s="108"/>
      <c r="C564" s="108"/>
    </row>
    <row r="565" spans="1:3">
      <c r="A565" s="108"/>
      <c r="B565" s="108"/>
      <c r="C565" s="108"/>
    </row>
    <row r="566" spans="1:3">
      <c r="A566" s="108"/>
      <c r="B566" s="108"/>
      <c r="C566" s="108"/>
    </row>
    <row r="567" spans="1:3">
      <c r="A567" s="108"/>
      <c r="B567" s="108"/>
      <c r="C567" s="108"/>
    </row>
    <row r="568" spans="1:3">
      <c r="A568" s="108"/>
      <c r="B568" s="108"/>
      <c r="C568" s="108"/>
    </row>
    <row r="569" spans="1:3">
      <c r="A569" s="108"/>
      <c r="B569" s="108"/>
      <c r="C569" s="108"/>
    </row>
    <row r="570" spans="1:3">
      <c r="A570" s="108"/>
      <c r="B570" s="108"/>
      <c r="C570" s="108"/>
    </row>
    <row r="571" spans="1:3">
      <c r="A571" s="108"/>
      <c r="B571" s="108"/>
      <c r="C571" s="108"/>
    </row>
    <row r="572" spans="1:3">
      <c r="A572" s="108"/>
      <c r="B572" s="108"/>
      <c r="C572" s="108"/>
    </row>
    <row r="573" spans="1:3">
      <c r="A573" s="108"/>
      <c r="B573" s="108"/>
      <c r="C573" s="108"/>
    </row>
    <row r="574" spans="1:3">
      <c r="A574" s="108"/>
      <c r="B574" s="108"/>
      <c r="C574" s="108"/>
    </row>
    <row r="575" spans="1:3">
      <c r="A575" s="108"/>
      <c r="B575" s="108"/>
      <c r="C575" s="108"/>
    </row>
    <row r="576" spans="1:3">
      <c r="A576" s="108"/>
      <c r="B576" s="108"/>
      <c r="C576" s="108"/>
    </row>
    <row r="577" spans="1:3">
      <c r="A577" s="108"/>
      <c r="B577" s="108"/>
      <c r="C577" s="108"/>
    </row>
    <row r="578" spans="1:3">
      <c r="A578" s="108"/>
      <c r="B578" s="108"/>
      <c r="C578" s="108"/>
    </row>
    <row r="579" spans="1:3">
      <c r="A579" s="108"/>
      <c r="B579" s="108"/>
      <c r="C579" s="108"/>
    </row>
    <row r="580" spans="1:3">
      <c r="A580" s="108"/>
      <c r="B580" s="108"/>
      <c r="C580" s="108"/>
    </row>
    <row r="581" spans="1:3">
      <c r="A581" s="108"/>
      <c r="B581" s="108"/>
      <c r="C581" s="108"/>
    </row>
    <row r="582" spans="1:3">
      <c r="A582" s="108"/>
      <c r="B582" s="108"/>
      <c r="C582" s="108"/>
    </row>
    <row r="583" spans="1:3">
      <c r="A583" s="108"/>
      <c r="B583" s="108"/>
      <c r="C583" s="108"/>
    </row>
    <row r="584" spans="1:3">
      <c r="A584" s="108"/>
      <c r="B584" s="108"/>
      <c r="C584" s="108"/>
    </row>
    <row r="585" spans="1:3">
      <c r="A585" s="108"/>
      <c r="B585" s="108"/>
      <c r="C585" s="108"/>
    </row>
    <row r="586" spans="1:3">
      <c r="A586" s="108"/>
      <c r="B586" s="108"/>
      <c r="C586" s="108"/>
    </row>
    <row r="587" spans="1:3">
      <c r="A587" s="108"/>
      <c r="B587" s="108"/>
      <c r="C587" s="108"/>
    </row>
    <row r="588" spans="1:3">
      <c r="A588" s="108"/>
      <c r="B588" s="108"/>
      <c r="C588" s="108"/>
    </row>
    <row r="589" spans="1:3">
      <c r="A589" s="108"/>
      <c r="B589" s="108"/>
      <c r="C589" s="108"/>
    </row>
    <row r="590" spans="1:3">
      <c r="A590" s="108"/>
      <c r="B590" s="108"/>
      <c r="C590" s="108"/>
    </row>
    <row r="591" spans="1:3">
      <c r="A591" s="108"/>
      <c r="B591" s="108"/>
      <c r="C591" s="108"/>
    </row>
    <row r="592" spans="1:3">
      <c r="A592" s="108"/>
      <c r="B592" s="108"/>
      <c r="C592" s="108"/>
    </row>
    <row r="593" spans="1:3">
      <c r="A593" s="108"/>
      <c r="B593" s="108"/>
      <c r="C593" s="108"/>
    </row>
    <row r="594" spans="1:3">
      <c r="A594" s="108"/>
      <c r="B594" s="108"/>
      <c r="C594" s="108"/>
    </row>
    <row r="595" spans="1:3">
      <c r="A595" s="108"/>
      <c r="B595" s="108"/>
      <c r="C595" s="108"/>
    </row>
    <row r="596" spans="1:3">
      <c r="A596" s="108"/>
      <c r="B596" s="108"/>
      <c r="C596" s="108"/>
    </row>
    <row r="597" spans="1:3">
      <c r="A597" s="108"/>
      <c r="B597" s="108"/>
      <c r="C597" s="108"/>
    </row>
    <row r="598" spans="1:3">
      <c r="A598" s="108"/>
      <c r="B598" s="108"/>
      <c r="C598" s="108"/>
    </row>
    <row r="599" spans="1:3">
      <c r="A599" s="108"/>
      <c r="B599" s="108"/>
      <c r="C599" s="108"/>
    </row>
    <row r="600" spans="1:3">
      <c r="A600" s="108"/>
      <c r="B600" s="108"/>
      <c r="C600" s="108"/>
    </row>
    <row r="601" spans="1:3">
      <c r="A601" s="108"/>
      <c r="B601" s="108"/>
      <c r="C601" s="108"/>
    </row>
    <row r="602" spans="1:3">
      <c r="A602" s="108"/>
      <c r="B602" s="108"/>
      <c r="C602" s="108"/>
    </row>
    <row r="603" spans="1:3">
      <c r="A603" s="108"/>
      <c r="B603" s="108"/>
      <c r="C603" s="108"/>
    </row>
    <row r="604" spans="1:3">
      <c r="A604" s="108"/>
      <c r="B604" s="108"/>
      <c r="C604" s="108"/>
    </row>
    <row r="605" spans="1:3">
      <c r="A605" s="108"/>
      <c r="B605" s="108"/>
      <c r="C605" s="108"/>
    </row>
    <row r="606" spans="1:3">
      <c r="A606" s="108"/>
      <c r="B606" s="108"/>
      <c r="C606" s="108"/>
    </row>
    <row r="607" spans="1:3">
      <c r="A607" s="108"/>
      <c r="B607" s="108"/>
      <c r="C607" s="108"/>
    </row>
    <row r="608" spans="1:3">
      <c r="A608" s="108"/>
      <c r="B608" s="108"/>
      <c r="C608" s="108"/>
    </row>
    <row r="609" spans="1:3">
      <c r="A609" s="108"/>
      <c r="B609" s="108"/>
      <c r="C609" s="108"/>
    </row>
    <row r="610" spans="1:3">
      <c r="A610" s="108"/>
      <c r="B610" s="108"/>
      <c r="C610" s="108"/>
    </row>
    <row r="611" spans="1:3">
      <c r="A611" s="108"/>
      <c r="B611" s="108"/>
      <c r="C611" s="108"/>
    </row>
    <row r="612" spans="1:3">
      <c r="A612" s="108"/>
      <c r="B612" s="108"/>
      <c r="C612" s="108"/>
    </row>
    <row r="613" spans="1:3">
      <c r="A613" s="108"/>
      <c r="B613" s="108"/>
      <c r="C613" s="108"/>
    </row>
    <row r="614" spans="1:3">
      <c r="A614" s="108"/>
      <c r="B614" s="108"/>
      <c r="C614" s="108"/>
    </row>
    <row r="615" spans="1:3">
      <c r="A615" s="108"/>
      <c r="B615" s="108"/>
      <c r="C615" s="108"/>
    </row>
    <row r="616" spans="1:3">
      <c r="A616" s="108"/>
      <c r="B616" s="108"/>
      <c r="C616" s="108"/>
    </row>
    <row r="617" spans="1:3">
      <c r="A617" s="108"/>
      <c r="B617" s="108"/>
      <c r="C617" s="108"/>
    </row>
    <row r="618" spans="1:3">
      <c r="A618" s="108"/>
      <c r="B618" s="108"/>
      <c r="C618" s="108"/>
    </row>
    <row r="619" spans="1:3">
      <c r="A619" s="108"/>
      <c r="B619" s="108"/>
      <c r="C619" s="108"/>
    </row>
    <row r="620" spans="1:3">
      <c r="A620" s="108"/>
      <c r="B620" s="108"/>
      <c r="C620" s="108"/>
    </row>
    <row r="621" spans="1:3">
      <c r="A621" s="108"/>
      <c r="B621" s="108"/>
      <c r="C621" s="108"/>
    </row>
    <row r="622" spans="1:3">
      <c r="A622" s="108"/>
      <c r="B622" s="108"/>
      <c r="C622" s="108"/>
    </row>
    <row r="623" spans="1:3">
      <c r="A623" s="108"/>
      <c r="B623" s="108"/>
      <c r="C623" s="108"/>
    </row>
    <row r="624" spans="1:3">
      <c r="A624" s="108"/>
      <c r="B624" s="108"/>
      <c r="C624" s="108"/>
    </row>
    <row r="625" spans="1:3">
      <c r="A625" s="108"/>
      <c r="B625" s="108"/>
      <c r="C625" s="108"/>
    </row>
    <row r="626" spans="1:3">
      <c r="A626" s="108"/>
      <c r="B626" s="108"/>
      <c r="C626" s="108"/>
    </row>
    <row r="627" spans="1:3">
      <c r="A627" s="108"/>
      <c r="B627" s="108"/>
      <c r="C627" s="108"/>
    </row>
    <row r="628" spans="1:3">
      <c r="A628" s="108"/>
      <c r="B628" s="108"/>
      <c r="C628" s="108"/>
    </row>
    <row r="629" spans="1:3">
      <c r="A629" s="108"/>
      <c r="B629" s="108"/>
      <c r="C629" s="108"/>
    </row>
    <row r="630" spans="1:3">
      <c r="A630" s="108"/>
      <c r="B630" s="108"/>
      <c r="C630" s="108"/>
    </row>
    <row r="631" spans="1:3">
      <c r="A631" s="108"/>
      <c r="B631" s="108"/>
      <c r="C631" s="108"/>
    </row>
    <row r="632" spans="1:3">
      <c r="A632" s="108"/>
      <c r="B632" s="108"/>
      <c r="C632" s="108"/>
    </row>
    <row r="633" spans="1:3">
      <c r="A633" s="108"/>
      <c r="B633" s="108"/>
      <c r="C633" s="108"/>
    </row>
    <row r="634" spans="1:3">
      <c r="A634" s="108"/>
      <c r="B634" s="108"/>
      <c r="C634" s="108"/>
    </row>
    <row r="635" spans="1:3">
      <c r="A635" s="108"/>
      <c r="B635" s="108"/>
      <c r="C635" s="108"/>
    </row>
    <row r="636" spans="1:3">
      <c r="A636" s="108"/>
      <c r="B636" s="108"/>
      <c r="C636" s="108"/>
    </row>
    <row r="637" spans="1:3">
      <c r="A637" s="108"/>
      <c r="B637" s="108"/>
      <c r="C637" s="108"/>
    </row>
    <row r="638" spans="1:3">
      <c r="A638" s="108"/>
      <c r="B638" s="108"/>
      <c r="C638" s="108"/>
    </row>
    <row r="639" spans="1:3">
      <c r="A639" s="108"/>
      <c r="B639" s="108"/>
      <c r="C639" s="108"/>
    </row>
    <row r="640" spans="1:3">
      <c r="A640" s="108"/>
      <c r="B640" s="108"/>
      <c r="C640" s="108"/>
    </row>
    <row r="641" spans="1:3">
      <c r="A641" s="108"/>
      <c r="B641" s="108"/>
      <c r="C641" s="108"/>
    </row>
    <row r="642" spans="1:3">
      <c r="A642" s="108"/>
      <c r="B642" s="108"/>
      <c r="C642" s="108"/>
    </row>
    <row r="643" spans="1:3">
      <c r="A643" s="108"/>
      <c r="B643" s="108"/>
      <c r="C643" s="108"/>
    </row>
    <row r="644" spans="1:3">
      <c r="A644" s="108"/>
      <c r="B644" s="108"/>
      <c r="C644" s="108"/>
    </row>
    <row r="645" spans="1:3">
      <c r="A645" s="108"/>
      <c r="B645" s="108"/>
      <c r="C645" s="108"/>
    </row>
    <row r="646" spans="1:3">
      <c r="A646" s="108"/>
      <c r="B646" s="108"/>
      <c r="C646" s="108"/>
    </row>
    <row r="647" spans="1:3">
      <c r="A647" s="108"/>
      <c r="B647" s="108"/>
      <c r="C647" s="108"/>
    </row>
    <row r="648" spans="1:3">
      <c r="A648" s="108"/>
      <c r="B648" s="108"/>
      <c r="C648" s="108"/>
    </row>
    <row r="649" spans="1:3">
      <c r="A649" s="108"/>
      <c r="B649" s="108"/>
      <c r="C649" s="108"/>
    </row>
    <row r="650" spans="1:3">
      <c r="A650" s="108"/>
      <c r="B650" s="108"/>
      <c r="C650" s="108"/>
    </row>
    <row r="651" spans="1:3">
      <c r="A651" s="108"/>
      <c r="B651" s="108"/>
      <c r="C651" s="108"/>
    </row>
    <row r="652" spans="1:3">
      <c r="A652" s="108"/>
      <c r="B652" s="108"/>
      <c r="C652" s="108"/>
    </row>
    <row r="653" spans="1:3">
      <c r="A653" s="108"/>
      <c r="B653" s="108"/>
      <c r="C653" s="108"/>
    </row>
    <row r="654" spans="1:3">
      <c r="A654" s="108"/>
      <c r="B654" s="108"/>
      <c r="C654" s="108"/>
    </row>
    <row r="655" spans="1:3">
      <c r="A655" s="108"/>
      <c r="B655" s="108"/>
      <c r="C655" s="108"/>
    </row>
    <row r="656" spans="1:3">
      <c r="A656" s="108"/>
      <c r="B656" s="108"/>
      <c r="C656" s="108"/>
    </row>
    <row r="657" spans="1:3">
      <c r="A657" s="108"/>
      <c r="B657" s="108"/>
      <c r="C657" s="108"/>
    </row>
    <row r="658" spans="1:3">
      <c r="A658" s="108"/>
      <c r="B658" s="108"/>
      <c r="C658" s="108"/>
    </row>
    <row r="659" spans="1:3">
      <c r="A659" s="108"/>
      <c r="B659" s="108"/>
      <c r="C659" s="108"/>
    </row>
    <row r="660" spans="1:3">
      <c r="A660" s="108"/>
      <c r="B660" s="108"/>
      <c r="C660" s="108"/>
    </row>
    <row r="661" spans="1:3">
      <c r="A661" s="108"/>
      <c r="B661" s="108"/>
      <c r="C661" s="108"/>
    </row>
    <row r="662" spans="1:3">
      <c r="A662" s="108"/>
      <c r="B662" s="108"/>
      <c r="C662" s="108"/>
    </row>
    <row r="663" spans="1:3">
      <c r="A663" s="108"/>
      <c r="B663" s="108"/>
      <c r="C663" s="108"/>
    </row>
    <row r="664" spans="1:3">
      <c r="A664" s="108"/>
      <c r="B664" s="108"/>
      <c r="C664" s="108"/>
    </row>
    <row r="665" spans="1:3">
      <c r="A665" s="108"/>
      <c r="B665" s="108"/>
      <c r="C665" s="108"/>
    </row>
    <row r="666" spans="1:3">
      <c r="A666" s="108"/>
      <c r="B666" s="108"/>
      <c r="C666" s="108"/>
    </row>
    <row r="667" spans="1:3">
      <c r="A667" s="108"/>
      <c r="B667" s="108"/>
      <c r="C667" s="108"/>
    </row>
    <row r="668" spans="1:3">
      <c r="A668" s="108"/>
      <c r="B668" s="108"/>
      <c r="C668" s="108"/>
    </row>
    <row r="669" spans="1:3">
      <c r="A669" s="108"/>
      <c r="B669" s="108"/>
      <c r="C669" s="108"/>
    </row>
    <row r="670" spans="1:3">
      <c r="A670" s="108"/>
      <c r="B670" s="108"/>
      <c r="C670" s="108"/>
    </row>
    <row r="671" spans="1:3">
      <c r="A671" s="108"/>
      <c r="B671" s="108"/>
      <c r="C671" s="108"/>
    </row>
    <row r="672" spans="1:3">
      <c r="A672" s="108"/>
      <c r="B672" s="108"/>
      <c r="C672" s="108"/>
    </row>
    <row r="673" spans="1:3">
      <c r="A673" s="108"/>
      <c r="B673" s="108"/>
      <c r="C673" s="108"/>
    </row>
    <row r="674" spans="1:3">
      <c r="A674" s="108"/>
      <c r="B674" s="108"/>
      <c r="C674" s="108"/>
    </row>
    <row r="675" spans="1:3">
      <c r="A675" s="108"/>
      <c r="B675" s="108"/>
      <c r="C675" s="108"/>
    </row>
    <row r="676" spans="1:3">
      <c r="A676" s="108"/>
      <c r="B676" s="108"/>
      <c r="C676" s="108"/>
    </row>
    <row r="677" spans="1:3">
      <c r="A677" s="108"/>
      <c r="B677" s="108"/>
      <c r="C677" s="108"/>
    </row>
    <row r="678" spans="1:3">
      <c r="A678" s="108"/>
      <c r="B678" s="108"/>
      <c r="C678" s="108"/>
    </row>
    <row r="679" spans="1:3">
      <c r="A679" s="108"/>
      <c r="B679" s="108"/>
      <c r="C679" s="108"/>
    </row>
    <row r="680" spans="1:3">
      <c r="A680" s="108"/>
      <c r="B680" s="108"/>
      <c r="C680" s="108"/>
    </row>
    <row r="681" spans="1:3">
      <c r="A681" s="108"/>
      <c r="B681" s="108"/>
      <c r="C681" s="108"/>
    </row>
    <row r="682" spans="1:3">
      <c r="A682" s="108"/>
      <c r="B682" s="108"/>
      <c r="C682" s="108"/>
    </row>
    <row r="683" spans="1:3">
      <c r="A683" s="108"/>
      <c r="B683" s="108"/>
      <c r="C683" s="108"/>
    </row>
    <row r="684" spans="1:3">
      <c r="A684" s="108"/>
      <c r="B684" s="108"/>
      <c r="C684" s="108"/>
    </row>
    <row r="685" spans="1:3">
      <c r="A685" s="108"/>
      <c r="B685" s="108"/>
      <c r="C685" s="108"/>
    </row>
    <row r="686" spans="1:3">
      <c r="A686" s="108"/>
      <c r="B686" s="108"/>
      <c r="C686" s="108"/>
    </row>
    <row r="687" spans="1:3">
      <c r="A687" s="108"/>
      <c r="B687" s="108"/>
      <c r="C687" s="108"/>
    </row>
    <row r="688" spans="1:3">
      <c r="A688" s="108"/>
      <c r="B688" s="108"/>
      <c r="C688" s="108"/>
    </row>
    <row r="689" spans="1:3">
      <c r="A689" s="108"/>
      <c r="B689" s="108"/>
      <c r="C689" s="108"/>
    </row>
    <row r="690" spans="1:3">
      <c r="A690" s="108"/>
      <c r="B690" s="108"/>
      <c r="C690" s="108"/>
    </row>
    <row r="691" spans="1:3">
      <c r="A691" s="108"/>
      <c r="B691" s="108"/>
      <c r="C691" s="108"/>
    </row>
    <row r="692" spans="1:3">
      <c r="A692" s="108"/>
      <c r="B692" s="108"/>
      <c r="C692" s="108"/>
    </row>
    <row r="693" spans="1:3">
      <c r="A693" s="108"/>
      <c r="B693" s="108"/>
      <c r="C693" s="108"/>
    </row>
    <row r="694" spans="1:3">
      <c r="A694" s="108"/>
      <c r="B694" s="108"/>
      <c r="C694" s="108"/>
    </row>
    <row r="695" spans="1:3">
      <c r="A695" s="108"/>
      <c r="B695" s="108"/>
      <c r="C695" s="108"/>
    </row>
    <row r="696" spans="1:3">
      <c r="A696" s="108"/>
      <c r="B696" s="108"/>
      <c r="C696" s="108"/>
    </row>
    <row r="697" spans="1:3">
      <c r="A697" s="108"/>
      <c r="B697" s="108"/>
      <c r="C697" s="108"/>
    </row>
    <row r="698" spans="1:3">
      <c r="A698" s="108"/>
      <c r="B698" s="108"/>
      <c r="C698" s="108"/>
    </row>
    <row r="699" spans="1:3">
      <c r="A699" s="108"/>
      <c r="B699" s="108"/>
      <c r="C699" s="108"/>
    </row>
    <row r="700" spans="1:3">
      <c r="A700" s="108"/>
      <c r="B700" s="108"/>
      <c r="C700" s="108"/>
    </row>
    <row r="701" spans="1:3">
      <c r="A701" s="108"/>
      <c r="B701" s="108"/>
      <c r="C701" s="108"/>
    </row>
    <row r="702" spans="1:3">
      <c r="A702" s="108"/>
      <c r="B702" s="108"/>
      <c r="C702" s="108"/>
    </row>
    <row r="703" spans="1:3">
      <c r="A703" s="108"/>
      <c r="B703" s="108"/>
      <c r="C703" s="108"/>
    </row>
    <row r="704" spans="1:3">
      <c r="A704" s="108"/>
      <c r="B704" s="108"/>
      <c r="C704" s="108"/>
    </row>
    <row r="705" spans="1:3">
      <c r="A705" s="108"/>
      <c r="B705" s="108"/>
      <c r="C705" s="108"/>
    </row>
    <row r="706" spans="1:3">
      <c r="A706" s="108"/>
      <c r="B706" s="108"/>
      <c r="C706" s="108"/>
    </row>
    <row r="707" spans="1:3">
      <c r="A707" s="108"/>
      <c r="B707" s="108"/>
      <c r="C707" s="108"/>
    </row>
    <row r="708" spans="1:3">
      <c r="A708" s="108"/>
      <c r="B708" s="108"/>
      <c r="C708" s="108"/>
    </row>
    <row r="709" spans="1:3">
      <c r="A709" s="108"/>
      <c r="B709" s="108"/>
      <c r="C709" s="108"/>
    </row>
    <row r="710" spans="1:3">
      <c r="A710" s="108"/>
      <c r="B710" s="108"/>
      <c r="C710" s="108"/>
    </row>
    <row r="711" spans="1:3">
      <c r="A711" s="108"/>
      <c r="B711" s="108"/>
      <c r="C711" s="108"/>
    </row>
    <row r="712" spans="1:3">
      <c r="A712" s="108"/>
      <c r="B712" s="108"/>
      <c r="C712" s="108"/>
    </row>
    <row r="713" spans="1:3">
      <c r="A713" s="108"/>
      <c r="B713" s="108"/>
      <c r="C713" s="108"/>
    </row>
    <row r="714" spans="1:3">
      <c r="A714" s="108"/>
      <c r="B714" s="108"/>
      <c r="C714" s="108"/>
    </row>
    <row r="715" spans="1:3">
      <c r="A715" s="108"/>
      <c r="B715" s="108"/>
      <c r="C715" s="108"/>
    </row>
    <row r="716" spans="1:3">
      <c r="A716" s="108"/>
      <c r="B716" s="108"/>
      <c r="C716" s="108"/>
    </row>
    <row r="717" spans="1:3">
      <c r="A717" s="108"/>
      <c r="B717" s="108"/>
      <c r="C717" s="108"/>
    </row>
    <row r="718" spans="1:3">
      <c r="A718" s="108"/>
      <c r="B718" s="108"/>
      <c r="C718" s="108"/>
    </row>
    <row r="719" spans="1:3">
      <c r="A719" s="108"/>
      <c r="B719" s="108"/>
      <c r="C719" s="108"/>
    </row>
    <row r="720" spans="1:3">
      <c r="A720" s="108"/>
      <c r="B720" s="108"/>
      <c r="C720" s="108"/>
    </row>
    <row r="721" spans="1:3">
      <c r="A721" s="108"/>
      <c r="B721" s="108"/>
      <c r="C721" s="108"/>
    </row>
    <row r="722" spans="1:3">
      <c r="A722" s="108"/>
      <c r="B722" s="108"/>
      <c r="C722" s="108"/>
    </row>
    <row r="723" spans="1:3">
      <c r="A723" s="108"/>
      <c r="B723" s="108"/>
      <c r="C723" s="108"/>
    </row>
    <row r="724" spans="1:3">
      <c r="A724" s="108"/>
      <c r="B724" s="108"/>
      <c r="C724" s="108"/>
    </row>
    <row r="725" spans="1:3">
      <c r="A725" s="108"/>
      <c r="B725" s="108"/>
      <c r="C725" s="108"/>
    </row>
    <row r="726" spans="1:3">
      <c r="A726" s="108"/>
      <c r="B726" s="108"/>
      <c r="C726" s="108"/>
    </row>
    <row r="727" spans="1:3">
      <c r="A727" s="108"/>
      <c r="B727" s="108"/>
      <c r="C727" s="108"/>
    </row>
    <row r="728" spans="1:3">
      <c r="A728" s="108"/>
      <c r="B728" s="108"/>
      <c r="C728" s="108"/>
    </row>
    <row r="729" spans="1:3">
      <c r="A729" s="108"/>
      <c r="B729" s="108"/>
      <c r="C729" s="108"/>
    </row>
    <row r="730" spans="1:3">
      <c r="A730" s="108"/>
      <c r="B730" s="108"/>
      <c r="C730" s="108"/>
    </row>
    <row r="731" spans="1:3">
      <c r="A731" s="108"/>
      <c r="B731" s="108"/>
      <c r="C731" s="108"/>
    </row>
    <row r="732" spans="1:3">
      <c r="A732" s="108"/>
      <c r="B732" s="108"/>
      <c r="C732" s="108"/>
    </row>
    <row r="733" spans="1:3">
      <c r="A733" s="108"/>
      <c r="B733" s="108"/>
      <c r="C733" s="108"/>
    </row>
    <row r="734" spans="1:3">
      <c r="A734" s="108"/>
      <c r="B734" s="108"/>
      <c r="C734" s="108"/>
    </row>
    <row r="735" spans="1:3">
      <c r="A735" s="108"/>
      <c r="B735" s="108"/>
      <c r="C735" s="108"/>
    </row>
    <row r="736" spans="1:3">
      <c r="A736" s="108"/>
      <c r="B736" s="108"/>
      <c r="C736" s="108"/>
    </row>
    <row r="737" spans="1:3">
      <c r="A737" s="108"/>
      <c r="B737" s="108"/>
      <c r="C737" s="108"/>
    </row>
    <row r="738" spans="1:3">
      <c r="A738" s="108"/>
      <c r="B738" s="108"/>
      <c r="C738" s="108"/>
    </row>
    <row r="739" spans="1:3">
      <c r="A739" s="108"/>
      <c r="B739" s="108"/>
      <c r="C739" s="108"/>
    </row>
    <row r="740" spans="1:3">
      <c r="A740" s="108"/>
      <c r="B740" s="108"/>
      <c r="C740" s="108"/>
    </row>
    <row r="741" spans="1:3">
      <c r="A741" s="108"/>
      <c r="B741" s="108"/>
      <c r="C741" s="108"/>
    </row>
    <row r="742" spans="1:3">
      <c r="A742" s="108"/>
      <c r="B742" s="108"/>
      <c r="C742" s="108"/>
    </row>
    <row r="743" spans="1:3">
      <c r="A743" s="108"/>
      <c r="B743" s="108"/>
      <c r="C743" s="108"/>
    </row>
    <row r="744" spans="1:3">
      <c r="A744" s="108"/>
      <c r="B744" s="108"/>
      <c r="C744" s="108"/>
    </row>
    <row r="745" spans="1:3">
      <c r="A745" s="108"/>
      <c r="B745" s="108"/>
      <c r="C745" s="108"/>
    </row>
    <row r="746" spans="1:3">
      <c r="A746" s="108"/>
      <c r="B746" s="108"/>
      <c r="C746" s="108"/>
    </row>
    <row r="747" spans="1:3">
      <c r="A747" s="108"/>
      <c r="B747" s="108"/>
      <c r="C747" s="108"/>
    </row>
    <row r="748" spans="1:3">
      <c r="A748" s="108"/>
      <c r="B748" s="108"/>
      <c r="C748" s="108"/>
    </row>
    <row r="749" spans="1:3">
      <c r="A749" s="108"/>
      <c r="B749" s="108"/>
      <c r="C749" s="108"/>
    </row>
    <row r="750" spans="1:3">
      <c r="A750" s="108"/>
      <c r="B750" s="108"/>
      <c r="C750" s="108"/>
    </row>
    <row r="751" spans="1:3">
      <c r="A751" s="108"/>
      <c r="B751" s="108"/>
      <c r="C751" s="108"/>
    </row>
    <row r="752" spans="1:3">
      <c r="A752" s="108"/>
      <c r="B752" s="108"/>
      <c r="C752" s="108"/>
    </row>
    <row r="753" spans="1:3">
      <c r="A753" s="108"/>
      <c r="B753" s="108"/>
      <c r="C753" s="108"/>
    </row>
    <row r="754" spans="1:3">
      <c r="A754" s="108"/>
      <c r="B754" s="108"/>
      <c r="C754" s="108"/>
    </row>
    <row r="755" spans="1:3">
      <c r="A755" s="108"/>
      <c r="B755" s="108"/>
      <c r="C755" s="108"/>
    </row>
    <row r="756" spans="1:3">
      <c r="A756" s="108"/>
      <c r="B756" s="108"/>
      <c r="C756" s="108"/>
    </row>
    <row r="757" spans="1:3">
      <c r="A757" s="108"/>
      <c r="B757" s="108"/>
      <c r="C757" s="108"/>
    </row>
    <row r="758" spans="1:3">
      <c r="A758" s="108"/>
      <c r="B758" s="108"/>
      <c r="C758" s="108"/>
    </row>
    <row r="759" spans="1:3">
      <c r="A759" s="108"/>
      <c r="B759" s="108"/>
      <c r="C759" s="108"/>
    </row>
    <row r="760" spans="1:3">
      <c r="A760" s="108"/>
      <c r="B760" s="108"/>
      <c r="C760" s="108"/>
    </row>
    <row r="761" spans="1:3">
      <c r="A761" s="108"/>
      <c r="B761" s="108"/>
      <c r="C761" s="108"/>
    </row>
    <row r="762" spans="1:3">
      <c r="A762" s="108"/>
      <c r="B762" s="108"/>
      <c r="C762" s="108"/>
    </row>
    <row r="763" spans="1:3">
      <c r="A763" s="108"/>
      <c r="B763" s="108"/>
      <c r="C763" s="108"/>
    </row>
    <row r="764" spans="1:3">
      <c r="A764" s="108"/>
      <c r="B764" s="108"/>
      <c r="C764" s="108"/>
    </row>
    <row r="765" spans="1:3">
      <c r="A765" s="108"/>
      <c r="B765" s="108"/>
      <c r="C765" s="108"/>
    </row>
    <row r="766" spans="1:3">
      <c r="A766" s="108"/>
      <c r="B766" s="108"/>
      <c r="C766" s="108"/>
    </row>
    <row r="767" spans="1:3">
      <c r="A767" s="108"/>
      <c r="B767" s="108"/>
      <c r="C767" s="108"/>
    </row>
    <row r="768" spans="1:3">
      <c r="A768" s="108"/>
      <c r="B768" s="108"/>
      <c r="C768" s="108"/>
    </row>
    <row r="769" spans="1:3">
      <c r="A769" s="108"/>
      <c r="B769" s="108"/>
      <c r="C769" s="108"/>
    </row>
    <row r="770" spans="1:3">
      <c r="A770" s="108"/>
      <c r="B770" s="108"/>
      <c r="C770" s="108"/>
    </row>
    <row r="771" spans="1:3">
      <c r="A771" s="108"/>
      <c r="B771" s="108"/>
      <c r="C771" s="108"/>
    </row>
    <row r="772" spans="1:3">
      <c r="A772" s="108"/>
      <c r="B772" s="108"/>
      <c r="C772" s="108"/>
    </row>
    <row r="773" spans="1:3">
      <c r="A773" s="108"/>
      <c r="B773" s="108"/>
      <c r="C773" s="108"/>
    </row>
    <row r="774" spans="1:3">
      <c r="A774" s="108"/>
      <c r="B774" s="108"/>
      <c r="C774" s="108"/>
    </row>
    <row r="775" spans="1:3">
      <c r="A775" s="108"/>
      <c r="B775" s="108"/>
      <c r="C775" s="108"/>
    </row>
    <row r="776" spans="1:3">
      <c r="A776" s="108"/>
      <c r="B776" s="108"/>
      <c r="C776" s="108"/>
    </row>
    <row r="777" spans="1:3">
      <c r="A777" s="108"/>
      <c r="B777" s="108"/>
      <c r="C777" s="108"/>
    </row>
    <row r="778" spans="1:3">
      <c r="A778" s="108"/>
      <c r="B778" s="108"/>
      <c r="C778" s="108"/>
    </row>
    <row r="779" spans="1:3">
      <c r="A779" s="108"/>
      <c r="B779" s="108"/>
      <c r="C779" s="108"/>
    </row>
    <row r="780" spans="1:3">
      <c r="A780" s="108"/>
      <c r="B780" s="108"/>
      <c r="C780" s="108"/>
    </row>
    <row r="781" spans="1:3">
      <c r="A781" s="108"/>
      <c r="B781" s="108"/>
      <c r="C781" s="108"/>
    </row>
    <row r="782" spans="1:3">
      <c r="A782" s="108"/>
      <c r="B782" s="108"/>
      <c r="C782" s="108"/>
    </row>
    <row r="783" spans="1:3">
      <c r="A783" s="108"/>
      <c r="B783" s="108"/>
      <c r="C783" s="108"/>
    </row>
    <row r="784" spans="1:3">
      <c r="A784" s="108"/>
      <c r="B784" s="108"/>
      <c r="C784" s="108"/>
    </row>
    <row r="785" spans="1:3">
      <c r="A785" s="108"/>
      <c r="B785" s="108"/>
      <c r="C785" s="108"/>
    </row>
    <row r="786" spans="1:3">
      <c r="A786" s="108"/>
      <c r="B786" s="108"/>
      <c r="C786" s="108"/>
    </row>
    <row r="787" spans="1:3">
      <c r="A787" s="108"/>
      <c r="B787" s="108"/>
      <c r="C787" s="108"/>
    </row>
    <row r="788" spans="1:3">
      <c r="A788" s="108"/>
      <c r="B788" s="108"/>
      <c r="C788" s="108"/>
    </row>
    <row r="789" spans="1:3">
      <c r="A789" s="108"/>
      <c r="B789" s="108"/>
      <c r="C789" s="108"/>
    </row>
    <row r="790" spans="1:3">
      <c r="A790" s="108"/>
      <c r="B790" s="108"/>
      <c r="C790" s="108"/>
    </row>
    <row r="791" spans="1:3">
      <c r="A791" s="108"/>
      <c r="B791" s="108"/>
      <c r="C791" s="108"/>
    </row>
    <row r="792" spans="1:3">
      <c r="A792" s="108"/>
      <c r="B792" s="108"/>
      <c r="C792" s="108"/>
    </row>
    <row r="793" spans="1:3">
      <c r="A793" s="108"/>
      <c r="B793" s="108"/>
      <c r="C793" s="108"/>
    </row>
    <row r="794" spans="1:3">
      <c r="A794" s="108"/>
      <c r="B794" s="108"/>
      <c r="C794" s="108"/>
    </row>
    <row r="795" spans="1:3">
      <c r="A795" s="108"/>
      <c r="B795" s="108"/>
      <c r="C795" s="108"/>
    </row>
    <row r="796" spans="1:3">
      <c r="A796" s="108"/>
      <c r="B796" s="108"/>
      <c r="C796" s="108"/>
    </row>
    <row r="797" spans="1:3">
      <c r="A797" s="108"/>
      <c r="B797" s="108"/>
      <c r="C797" s="108"/>
    </row>
    <row r="798" spans="1:3">
      <c r="A798" s="108"/>
      <c r="B798" s="108"/>
      <c r="C798" s="108"/>
    </row>
    <row r="799" spans="1:3">
      <c r="A799" s="108"/>
      <c r="B799" s="108"/>
      <c r="C799" s="108"/>
    </row>
    <row r="800" spans="1:3">
      <c r="A800" s="108"/>
      <c r="B800" s="108"/>
      <c r="C800" s="108"/>
    </row>
    <row r="801" spans="1:3">
      <c r="A801" s="108"/>
      <c r="B801" s="108"/>
      <c r="C801" s="108"/>
    </row>
    <row r="802" spans="1:3">
      <c r="A802" s="108"/>
      <c r="B802" s="108"/>
      <c r="C802" s="108"/>
    </row>
    <row r="803" spans="1:3">
      <c r="A803" s="108"/>
      <c r="B803" s="108"/>
      <c r="C803" s="108"/>
    </row>
    <row r="804" spans="1:3">
      <c r="A804" s="108"/>
      <c r="B804" s="108"/>
      <c r="C804" s="108"/>
    </row>
    <row r="805" spans="1:3">
      <c r="A805" s="108"/>
      <c r="B805" s="108"/>
      <c r="C805" s="108"/>
    </row>
    <row r="806" spans="1:3">
      <c r="A806" s="108"/>
      <c r="B806" s="108"/>
      <c r="C806" s="108"/>
    </row>
    <row r="807" spans="1:3">
      <c r="A807" s="108"/>
      <c r="B807" s="108"/>
      <c r="C807" s="108"/>
    </row>
    <row r="808" spans="1:3">
      <c r="A808" s="108"/>
      <c r="B808" s="108"/>
      <c r="C808" s="108"/>
    </row>
    <row r="809" spans="1:3">
      <c r="A809" s="108"/>
      <c r="B809" s="108"/>
      <c r="C809" s="108"/>
    </row>
    <row r="810" spans="1:3">
      <c r="A810" s="108"/>
      <c r="B810" s="108"/>
      <c r="C810" s="108"/>
    </row>
    <row r="811" spans="1:3">
      <c r="A811" s="108"/>
      <c r="B811" s="108"/>
      <c r="C811" s="108"/>
    </row>
    <row r="812" spans="1:3">
      <c r="A812" s="108"/>
      <c r="B812" s="108"/>
      <c r="C812" s="108"/>
    </row>
    <row r="813" spans="1:3">
      <c r="A813" s="108"/>
      <c r="B813" s="108"/>
      <c r="C813" s="108"/>
    </row>
    <row r="814" spans="1:3">
      <c r="A814" s="108"/>
      <c r="B814" s="108"/>
      <c r="C814" s="108"/>
    </row>
    <row r="815" spans="1:3">
      <c r="A815" s="108"/>
      <c r="B815" s="108"/>
      <c r="C815" s="108"/>
    </row>
    <row r="816" spans="1:3">
      <c r="A816" s="108"/>
      <c r="B816" s="108"/>
      <c r="C816" s="108"/>
    </row>
    <row r="817" spans="1:3">
      <c r="A817" s="108"/>
      <c r="B817" s="108"/>
      <c r="C817" s="108"/>
    </row>
    <row r="818" spans="1:3">
      <c r="A818" s="108"/>
      <c r="B818" s="108"/>
      <c r="C818" s="108"/>
    </row>
    <row r="819" spans="1:3">
      <c r="A819" s="108"/>
      <c r="B819" s="108"/>
      <c r="C819" s="108"/>
    </row>
    <row r="820" spans="1:3">
      <c r="A820" s="108"/>
      <c r="B820" s="108"/>
      <c r="C820" s="108"/>
    </row>
    <row r="821" spans="1:3">
      <c r="A821" s="108"/>
      <c r="B821" s="108"/>
      <c r="C821" s="108"/>
    </row>
    <row r="822" spans="1:3">
      <c r="A822" s="108"/>
      <c r="B822" s="108"/>
      <c r="C822" s="108"/>
    </row>
    <row r="823" spans="1:3">
      <c r="A823" s="108"/>
      <c r="B823" s="108"/>
      <c r="C823" s="108"/>
    </row>
    <row r="824" spans="1:3">
      <c r="A824" s="108"/>
      <c r="B824" s="108"/>
      <c r="C824" s="108"/>
    </row>
    <row r="825" spans="1:3">
      <c r="A825" s="108"/>
      <c r="B825" s="108"/>
      <c r="C825" s="108"/>
    </row>
    <row r="826" spans="1:3">
      <c r="A826" s="108"/>
      <c r="B826" s="108"/>
      <c r="C826" s="108"/>
    </row>
    <row r="827" spans="1:3">
      <c r="A827" s="108"/>
      <c r="B827" s="108"/>
      <c r="C827" s="108"/>
    </row>
    <row r="828" spans="1:3">
      <c r="A828" s="108"/>
      <c r="B828" s="108"/>
      <c r="C828" s="108"/>
    </row>
    <row r="829" spans="1:3">
      <c r="A829" s="108"/>
      <c r="B829" s="108"/>
      <c r="C829" s="108"/>
    </row>
    <row r="830" spans="1:3">
      <c r="A830" s="108"/>
      <c r="B830" s="108"/>
      <c r="C830" s="108"/>
    </row>
    <row r="831" spans="1:3">
      <c r="A831" s="108"/>
      <c r="B831" s="108"/>
      <c r="C831" s="108"/>
    </row>
    <row r="832" spans="1:3">
      <c r="A832" s="108"/>
      <c r="B832" s="108"/>
      <c r="C832" s="108"/>
    </row>
    <row r="833" spans="1:3">
      <c r="A833" s="108"/>
      <c r="B833" s="108"/>
      <c r="C833" s="108"/>
    </row>
    <row r="834" spans="1:3">
      <c r="A834" s="108"/>
      <c r="B834" s="108"/>
      <c r="C834" s="108"/>
    </row>
    <row r="835" spans="1:3">
      <c r="A835" s="108"/>
      <c r="B835" s="108"/>
      <c r="C835" s="108"/>
    </row>
    <row r="836" spans="1:3">
      <c r="A836" s="108"/>
      <c r="B836" s="108"/>
      <c r="C836" s="108"/>
    </row>
    <row r="837" spans="1:3">
      <c r="A837" s="108"/>
      <c r="B837" s="108"/>
      <c r="C837" s="108"/>
    </row>
    <row r="838" spans="1:3">
      <c r="A838" s="108"/>
      <c r="B838" s="108"/>
      <c r="C838" s="108"/>
    </row>
    <row r="839" spans="1:3">
      <c r="A839" s="108"/>
      <c r="B839" s="108"/>
      <c r="C839" s="108"/>
    </row>
    <row r="840" spans="1:3">
      <c r="A840" s="108"/>
      <c r="B840" s="108"/>
      <c r="C840" s="108"/>
    </row>
    <row r="841" spans="1:3">
      <c r="A841" s="108"/>
      <c r="B841" s="108"/>
      <c r="C841" s="108"/>
    </row>
    <row r="842" spans="1:3">
      <c r="A842" s="108"/>
      <c r="B842" s="108"/>
      <c r="C842" s="108"/>
    </row>
    <row r="843" spans="1:3">
      <c r="A843" s="108"/>
      <c r="B843" s="108"/>
      <c r="C843" s="108"/>
    </row>
    <row r="844" spans="1:3">
      <c r="A844" s="108"/>
      <c r="B844" s="108"/>
      <c r="C844" s="108"/>
    </row>
    <row r="845" spans="1:3">
      <c r="A845" s="108"/>
      <c r="B845" s="108"/>
      <c r="C845" s="108"/>
    </row>
    <row r="846" spans="1:3">
      <c r="A846" s="108"/>
      <c r="B846" s="108"/>
      <c r="C846" s="108"/>
    </row>
    <row r="847" spans="1:3">
      <c r="A847" s="108"/>
      <c r="B847" s="108"/>
      <c r="C847" s="108"/>
    </row>
    <row r="848" spans="1:3">
      <c r="A848" s="108"/>
      <c r="B848" s="108"/>
      <c r="C848" s="108"/>
    </row>
    <row r="849" spans="1:3">
      <c r="A849" s="108"/>
      <c r="B849" s="108"/>
      <c r="C849" s="108"/>
    </row>
    <row r="850" spans="1:3">
      <c r="A850" s="108"/>
      <c r="B850" s="108"/>
      <c r="C850" s="108"/>
    </row>
    <row r="851" spans="1:3">
      <c r="A851" s="108"/>
      <c r="B851" s="108"/>
      <c r="C851" s="108"/>
    </row>
    <row r="852" spans="1:3">
      <c r="A852" s="108"/>
      <c r="B852" s="108"/>
      <c r="C852" s="108"/>
    </row>
    <row r="853" spans="1:3">
      <c r="A853" s="108"/>
      <c r="B853" s="108"/>
      <c r="C853" s="108"/>
    </row>
    <row r="854" spans="1:3">
      <c r="A854" s="108"/>
      <c r="B854" s="108"/>
      <c r="C854" s="108"/>
    </row>
    <row r="855" spans="1:3">
      <c r="A855" s="108"/>
      <c r="B855" s="108"/>
      <c r="C855" s="108"/>
    </row>
    <row r="856" spans="1:3">
      <c r="A856" s="108"/>
      <c r="B856" s="108"/>
      <c r="C856" s="108"/>
    </row>
    <row r="857" spans="1:3">
      <c r="A857" s="108"/>
      <c r="B857" s="108"/>
      <c r="C857" s="108"/>
    </row>
    <row r="858" spans="1:3">
      <c r="A858" s="108"/>
      <c r="B858" s="108"/>
      <c r="C858" s="108"/>
    </row>
    <row r="859" spans="1:3">
      <c r="A859" s="108"/>
      <c r="B859" s="108"/>
      <c r="C859" s="108"/>
    </row>
    <row r="860" spans="1:3">
      <c r="A860" s="108"/>
      <c r="B860" s="108"/>
      <c r="C860" s="108"/>
    </row>
    <row r="861" spans="1:3">
      <c r="A861" s="108"/>
      <c r="B861" s="108"/>
      <c r="C861" s="108"/>
    </row>
    <row r="862" spans="1:3">
      <c r="A862" s="108"/>
      <c r="B862" s="108"/>
      <c r="C862" s="108"/>
    </row>
    <row r="863" spans="1:3">
      <c r="A863" s="108"/>
      <c r="B863" s="108"/>
      <c r="C863" s="108"/>
    </row>
    <row r="864" spans="1:3">
      <c r="A864" s="108"/>
      <c r="B864" s="108"/>
      <c r="C864" s="108"/>
    </row>
    <row r="865" spans="1:3">
      <c r="A865" s="108"/>
      <c r="B865" s="108"/>
      <c r="C865" s="108"/>
    </row>
    <row r="866" spans="1:3">
      <c r="A866" s="108"/>
      <c r="B866" s="108"/>
      <c r="C866" s="108"/>
    </row>
    <row r="867" spans="1:3">
      <c r="A867" s="108"/>
      <c r="B867" s="108"/>
      <c r="C867" s="108"/>
    </row>
    <row r="868" spans="1:3">
      <c r="A868" s="108"/>
      <c r="B868" s="108"/>
      <c r="C868" s="108"/>
    </row>
    <row r="869" spans="1:3">
      <c r="A869" s="108"/>
      <c r="B869" s="108"/>
      <c r="C869" s="108"/>
    </row>
    <row r="870" spans="1:3">
      <c r="A870" s="108"/>
      <c r="B870" s="108"/>
      <c r="C870" s="108"/>
    </row>
    <row r="871" spans="1:3">
      <c r="A871" s="108"/>
      <c r="B871" s="108"/>
      <c r="C871" s="108"/>
    </row>
    <row r="872" spans="1:3">
      <c r="A872" s="108"/>
      <c r="B872" s="108"/>
      <c r="C872" s="108"/>
    </row>
    <row r="873" spans="1:3">
      <c r="A873" s="108"/>
      <c r="B873" s="108"/>
      <c r="C873" s="108"/>
    </row>
    <row r="874" spans="1:3">
      <c r="A874" s="108"/>
      <c r="B874" s="108"/>
      <c r="C874" s="108"/>
    </row>
    <row r="875" spans="1:3">
      <c r="A875" s="108"/>
      <c r="B875" s="108"/>
      <c r="C875" s="108"/>
    </row>
    <row r="876" spans="1:3">
      <c r="A876" s="108"/>
      <c r="B876" s="108"/>
      <c r="C876" s="108"/>
    </row>
    <row r="877" spans="1:3">
      <c r="A877" s="108"/>
      <c r="B877" s="108"/>
      <c r="C877" s="108"/>
    </row>
    <row r="878" spans="1:3">
      <c r="A878" s="108"/>
      <c r="B878" s="108"/>
      <c r="C878" s="108"/>
    </row>
    <row r="879" spans="1:3">
      <c r="A879" s="108"/>
      <c r="B879" s="108"/>
      <c r="C879" s="108"/>
    </row>
    <row r="880" spans="1:3">
      <c r="A880" s="108"/>
      <c r="B880" s="108"/>
      <c r="C880" s="108"/>
    </row>
    <row r="881" spans="1:3">
      <c r="A881" s="108"/>
      <c r="B881" s="108"/>
      <c r="C881" s="108"/>
    </row>
    <row r="882" spans="1:3">
      <c r="A882" s="108"/>
      <c r="B882" s="108"/>
      <c r="C882" s="108"/>
    </row>
    <row r="883" spans="1:3">
      <c r="A883" s="108"/>
      <c r="B883" s="108"/>
      <c r="C883" s="108"/>
    </row>
    <row r="884" spans="1:3">
      <c r="A884" s="108"/>
      <c r="B884" s="108"/>
      <c r="C884" s="108"/>
    </row>
    <row r="885" spans="1:3">
      <c r="A885" s="108"/>
      <c r="B885" s="108"/>
      <c r="C885" s="108"/>
    </row>
    <row r="886" spans="1:3">
      <c r="A886" s="108"/>
      <c r="B886" s="108"/>
      <c r="C886" s="108"/>
    </row>
    <row r="887" spans="1:3">
      <c r="A887" s="108"/>
      <c r="B887" s="108"/>
      <c r="C887" s="108"/>
    </row>
    <row r="888" spans="1:3">
      <c r="A888" s="108"/>
      <c r="B888" s="108"/>
      <c r="C888" s="108"/>
    </row>
    <row r="889" spans="1:3">
      <c r="A889" s="108"/>
      <c r="B889" s="108"/>
      <c r="C889" s="108"/>
    </row>
    <row r="890" spans="1:3">
      <c r="A890" s="108"/>
      <c r="B890" s="108"/>
      <c r="C890" s="108"/>
    </row>
    <row r="891" spans="1:3">
      <c r="A891" s="108"/>
      <c r="B891" s="108"/>
      <c r="C891" s="108"/>
    </row>
    <row r="892" spans="1:3">
      <c r="A892" s="108"/>
      <c r="B892" s="108"/>
      <c r="C892" s="108"/>
    </row>
    <row r="893" spans="1:3">
      <c r="A893" s="108"/>
      <c r="B893" s="108"/>
      <c r="C893" s="108"/>
    </row>
    <row r="894" spans="1:3">
      <c r="A894" s="108"/>
      <c r="B894" s="108"/>
      <c r="C894" s="108"/>
    </row>
    <row r="895" spans="1:3">
      <c r="A895" s="108"/>
      <c r="B895" s="108"/>
      <c r="C895" s="108"/>
    </row>
    <row r="896" spans="1:3">
      <c r="A896" s="108"/>
      <c r="B896" s="108"/>
      <c r="C896" s="108"/>
    </row>
    <row r="897" spans="1:3">
      <c r="A897" s="108"/>
      <c r="B897" s="108"/>
      <c r="C897" s="108"/>
    </row>
    <row r="898" spans="1:3">
      <c r="A898" s="108"/>
      <c r="B898" s="108"/>
      <c r="C898" s="108"/>
    </row>
    <row r="899" spans="1:3">
      <c r="A899" s="108"/>
      <c r="B899" s="108"/>
      <c r="C899" s="108"/>
    </row>
    <row r="900" spans="1:3">
      <c r="A900" s="108"/>
      <c r="B900" s="108"/>
      <c r="C900" s="108"/>
    </row>
    <row r="901" spans="1:3">
      <c r="A901" s="108"/>
      <c r="B901" s="108"/>
      <c r="C901" s="108"/>
    </row>
    <row r="902" spans="1:3">
      <c r="A902" s="108"/>
      <c r="B902" s="108"/>
      <c r="C902" s="108"/>
    </row>
    <row r="903" spans="1:3">
      <c r="A903" s="108"/>
      <c r="B903" s="108"/>
      <c r="C903" s="108"/>
    </row>
    <row r="904" spans="1:3">
      <c r="A904" s="108"/>
      <c r="B904" s="108"/>
      <c r="C904" s="108"/>
    </row>
    <row r="905" spans="1:3">
      <c r="A905" s="108"/>
      <c r="B905" s="108"/>
      <c r="C905" s="108"/>
    </row>
    <row r="906" spans="1:3">
      <c r="A906" s="108"/>
      <c r="B906" s="108"/>
      <c r="C906" s="108"/>
    </row>
    <row r="907" spans="1:3">
      <c r="A907" s="108"/>
      <c r="B907" s="108"/>
      <c r="C907" s="108"/>
    </row>
    <row r="908" spans="1:3">
      <c r="A908" s="108"/>
      <c r="B908" s="108"/>
      <c r="C908" s="108"/>
    </row>
    <row r="909" spans="1:3">
      <c r="A909" s="108"/>
      <c r="B909" s="108"/>
      <c r="C909" s="108"/>
    </row>
    <row r="910" spans="1:3">
      <c r="A910" s="108"/>
      <c r="B910" s="108"/>
      <c r="C910" s="108"/>
    </row>
    <row r="911" spans="1:3">
      <c r="A911" s="108"/>
      <c r="B911" s="108"/>
      <c r="C911" s="108"/>
    </row>
    <row r="912" spans="1:3">
      <c r="A912" s="108"/>
      <c r="B912" s="108"/>
      <c r="C912" s="108"/>
    </row>
    <row r="913" spans="1:3">
      <c r="A913" s="108"/>
      <c r="B913" s="108"/>
      <c r="C913" s="108"/>
    </row>
    <row r="914" spans="1:3">
      <c r="A914" s="108"/>
      <c r="B914" s="108"/>
      <c r="C914" s="108"/>
    </row>
    <row r="915" spans="1:3">
      <c r="A915" s="108"/>
      <c r="B915" s="108"/>
      <c r="C915" s="108"/>
    </row>
    <row r="916" spans="1:3">
      <c r="A916" s="108"/>
      <c r="B916" s="108"/>
      <c r="C916" s="108"/>
    </row>
    <row r="917" spans="1:3">
      <c r="A917" s="108"/>
      <c r="B917" s="108"/>
      <c r="C917" s="108"/>
    </row>
    <row r="918" spans="1:3">
      <c r="A918" s="108"/>
      <c r="B918" s="108"/>
      <c r="C918" s="108"/>
    </row>
    <row r="919" spans="1:3">
      <c r="A919" s="108"/>
      <c r="B919" s="108"/>
      <c r="C919" s="108"/>
    </row>
    <row r="920" spans="1:3">
      <c r="A920" s="108"/>
      <c r="B920" s="108"/>
      <c r="C920" s="108"/>
    </row>
    <row r="921" spans="1:3">
      <c r="A921" s="108"/>
      <c r="B921" s="108"/>
      <c r="C921" s="108"/>
    </row>
    <row r="922" spans="1:3">
      <c r="A922" s="108"/>
      <c r="B922" s="108"/>
      <c r="C922" s="108"/>
    </row>
    <row r="923" spans="1:3">
      <c r="A923" s="108"/>
      <c r="B923" s="108"/>
      <c r="C923" s="108"/>
    </row>
    <row r="924" spans="1:3">
      <c r="A924" s="108"/>
      <c r="B924" s="108"/>
      <c r="C924" s="108"/>
    </row>
    <row r="925" spans="1:3">
      <c r="A925" s="108"/>
      <c r="B925" s="108"/>
      <c r="C925" s="108"/>
    </row>
    <row r="926" spans="1:3">
      <c r="A926" s="108"/>
      <c r="B926" s="108"/>
      <c r="C926" s="108"/>
    </row>
    <row r="927" spans="1:3">
      <c r="A927" s="108"/>
      <c r="B927" s="108"/>
      <c r="C927" s="108"/>
    </row>
    <row r="928" spans="1:3">
      <c r="A928" s="108"/>
      <c r="B928" s="108"/>
      <c r="C928" s="108"/>
    </row>
    <row r="929" spans="1:3">
      <c r="A929" s="108"/>
      <c r="B929" s="108"/>
      <c r="C929" s="108"/>
    </row>
    <row r="930" spans="1:3">
      <c r="A930" s="108"/>
      <c r="B930" s="108"/>
      <c r="C930" s="108"/>
    </row>
    <row r="931" spans="1:3">
      <c r="A931" s="108"/>
      <c r="B931" s="108"/>
      <c r="C931" s="108"/>
    </row>
    <row r="932" spans="1:3">
      <c r="A932" s="108"/>
      <c r="B932" s="108"/>
      <c r="C932" s="108"/>
    </row>
    <row r="933" spans="1:3">
      <c r="A933" s="108"/>
      <c r="B933" s="108"/>
      <c r="C933" s="108"/>
    </row>
    <row r="934" spans="1:3">
      <c r="A934" s="108"/>
      <c r="B934" s="108"/>
      <c r="C934" s="108"/>
    </row>
    <row r="935" spans="1:3">
      <c r="A935" s="108"/>
      <c r="B935" s="108"/>
      <c r="C935" s="108"/>
    </row>
    <row r="936" spans="1:3">
      <c r="A936" s="108"/>
      <c r="B936" s="108"/>
      <c r="C936" s="108"/>
    </row>
    <row r="937" spans="1:3">
      <c r="A937" s="108"/>
      <c r="B937" s="108"/>
      <c r="C937" s="108"/>
    </row>
    <row r="938" spans="1:3">
      <c r="A938" s="108"/>
      <c r="B938" s="108"/>
      <c r="C938" s="108"/>
    </row>
    <row r="939" spans="1:3">
      <c r="A939" s="108"/>
      <c r="B939" s="108"/>
      <c r="C939" s="108"/>
    </row>
    <row r="940" spans="1:3">
      <c r="A940" s="108"/>
      <c r="B940" s="108"/>
      <c r="C940" s="108"/>
    </row>
    <row r="941" spans="1:3">
      <c r="A941" s="108"/>
      <c r="B941" s="108"/>
      <c r="C941" s="108"/>
    </row>
    <row r="942" spans="1:3">
      <c r="A942" s="108"/>
      <c r="B942" s="108"/>
      <c r="C942" s="108"/>
    </row>
    <row r="943" spans="1:3">
      <c r="A943" s="108"/>
      <c r="B943" s="108"/>
      <c r="C943" s="108"/>
    </row>
    <row r="944" spans="1:3">
      <c r="A944" s="108"/>
      <c r="B944" s="108"/>
      <c r="C944" s="108"/>
    </row>
    <row r="945" spans="1:3">
      <c r="A945" s="108"/>
      <c r="B945" s="108"/>
      <c r="C945" s="108"/>
    </row>
    <row r="946" spans="1:3">
      <c r="A946" s="108"/>
      <c r="B946" s="108"/>
      <c r="C946" s="108"/>
    </row>
    <row r="947" spans="1:3">
      <c r="A947" s="108"/>
      <c r="B947" s="108"/>
      <c r="C947" s="108"/>
    </row>
    <row r="948" spans="1:3">
      <c r="A948" s="108"/>
      <c r="B948" s="108"/>
      <c r="C948" s="108"/>
    </row>
    <row r="949" spans="1:3">
      <c r="A949" s="108"/>
      <c r="B949" s="108"/>
      <c r="C949" s="108"/>
    </row>
    <row r="950" spans="1:3">
      <c r="A950" s="108"/>
      <c r="B950" s="108"/>
      <c r="C950" s="108"/>
    </row>
    <row r="951" spans="1:3">
      <c r="A951" s="108"/>
      <c r="B951" s="108"/>
      <c r="C951" s="108"/>
    </row>
    <row r="952" spans="1:3">
      <c r="A952" s="108"/>
      <c r="B952" s="108"/>
      <c r="C952" s="108"/>
    </row>
    <row r="953" spans="1:3">
      <c r="A953" s="108"/>
      <c r="B953" s="108"/>
      <c r="C953" s="108"/>
    </row>
    <row r="954" spans="1:3">
      <c r="A954" s="108"/>
      <c r="B954" s="108"/>
      <c r="C954" s="108"/>
    </row>
    <row r="955" spans="1:3">
      <c r="A955" s="108"/>
      <c r="B955" s="108"/>
      <c r="C955" s="108"/>
    </row>
    <row r="956" spans="1:3">
      <c r="A956" s="108"/>
      <c r="B956" s="108"/>
      <c r="C956" s="108"/>
    </row>
    <row r="957" spans="1:3">
      <c r="A957" s="108"/>
      <c r="B957" s="108"/>
      <c r="C957" s="108"/>
    </row>
    <row r="958" spans="1:3">
      <c r="A958" s="108"/>
      <c r="B958" s="108"/>
      <c r="C958" s="108"/>
    </row>
    <row r="959" spans="1:3">
      <c r="A959" s="108"/>
      <c r="B959" s="108"/>
      <c r="C959" s="108"/>
    </row>
    <row r="960" spans="1:3">
      <c r="A960" s="108"/>
      <c r="B960" s="108"/>
      <c r="C960" s="108"/>
    </row>
    <row r="961" spans="1:3">
      <c r="A961" s="108"/>
      <c r="B961" s="108"/>
      <c r="C961" s="108"/>
    </row>
    <row r="962" spans="1:3">
      <c r="A962" s="108"/>
      <c r="B962" s="108"/>
      <c r="C962" s="108"/>
    </row>
    <row r="963" spans="1:3">
      <c r="A963" s="108"/>
      <c r="B963" s="108"/>
      <c r="C963" s="108"/>
    </row>
    <row r="964" spans="1:3">
      <c r="A964" s="108"/>
      <c r="B964" s="108"/>
      <c r="C964" s="108"/>
    </row>
    <row r="965" spans="1:3">
      <c r="A965" s="108"/>
      <c r="B965" s="108"/>
      <c r="C965" s="108"/>
    </row>
    <row r="966" spans="1:3">
      <c r="A966" s="108"/>
      <c r="B966" s="108"/>
      <c r="C966" s="108"/>
    </row>
    <row r="967" spans="1:3">
      <c r="A967" s="108"/>
      <c r="B967" s="108"/>
      <c r="C967" s="108"/>
    </row>
    <row r="968" spans="1:3">
      <c r="A968" s="108"/>
      <c r="B968" s="108"/>
      <c r="C968" s="108"/>
    </row>
    <row r="969" spans="1:3">
      <c r="A969" s="108"/>
      <c r="B969" s="108"/>
      <c r="C969" s="108"/>
    </row>
    <row r="970" spans="1:3">
      <c r="A970" s="108"/>
      <c r="B970" s="108"/>
      <c r="C970" s="108"/>
    </row>
    <row r="971" spans="1:3">
      <c r="A971" s="108"/>
      <c r="B971" s="108"/>
      <c r="C971" s="108"/>
    </row>
    <row r="972" spans="1:3">
      <c r="A972" s="108"/>
      <c r="B972" s="108"/>
      <c r="C972" s="108"/>
    </row>
    <row r="973" spans="1:3">
      <c r="A973" s="108"/>
      <c r="B973" s="108"/>
      <c r="C973" s="108"/>
    </row>
    <row r="974" spans="1:3">
      <c r="A974" s="108"/>
      <c r="B974" s="108"/>
      <c r="C974" s="108"/>
    </row>
    <row r="975" spans="1:3">
      <c r="A975" s="108"/>
      <c r="B975" s="108"/>
      <c r="C975" s="108"/>
    </row>
    <row r="976" spans="1:3">
      <c r="A976" s="108"/>
      <c r="B976" s="108"/>
      <c r="C976" s="108"/>
    </row>
    <row r="977" spans="1:3">
      <c r="A977" s="108"/>
      <c r="B977" s="108"/>
      <c r="C977" s="108"/>
    </row>
    <row r="978" spans="1:3">
      <c r="A978" s="108"/>
      <c r="B978" s="108"/>
      <c r="C978" s="108"/>
    </row>
    <row r="979" spans="1:3">
      <c r="A979" s="108"/>
      <c r="B979" s="108"/>
      <c r="C979" s="108"/>
    </row>
    <row r="980" spans="1:3">
      <c r="A980" s="108"/>
      <c r="B980" s="108"/>
      <c r="C980" s="108"/>
    </row>
    <row r="981" spans="1:3">
      <c r="A981" s="108"/>
      <c r="B981" s="108"/>
      <c r="C981" s="108"/>
    </row>
    <row r="982" spans="1:3">
      <c r="A982" s="108"/>
      <c r="B982" s="108"/>
      <c r="C982" s="108"/>
    </row>
    <row r="983" spans="1:3">
      <c r="A983" s="108"/>
      <c r="B983" s="108"/>
      <c r="C983" s="108"/>
    </row>
    <row r="984" spans="1:3">
      <c r="A984" s="108"/>
      <c r="B984" s="108"/>
      <c r="C984" s="108"/>
    </row>
    <row r="985" spans="1:3">
      <c r="A985" s="108"/>
      <c r="B985" s="108"/>
      <c r="C985" s="108"/>
    </row>
    <row r="986" spans="1:3">
      <c r="A986" s="108"/>
      <c r="B986" s="108"/>
      <c r="C986" s="108"/>
    </row>
    <row r="987" spans="1:3">
      <c r="A987" s="108"/>
      <c r="B987" s="108"/>
      <c r="C987" s="108"/>
    </row>
    <row r="988" spans="1:3">
      <c r="A988" s="108"/>
      <c r="B988" s="108"/>
      <c r="C988" s="108"/>
    </row>
    <row r="989" spans="1:3">
      <c r="A989" s="108"/>
      <c r="B989" s="108"/>
      <c r="C989" s="108"/>
    </row>
    <row r="990" spans="1:3">
      <c r="A990" s="108"/>
      <c r="B990" s="108"/>
      <c r="C990" s="108"/>
    </row>
    <row r="991" spans="1:3">
      <c r="A991" s="108"/>
      <c r="B991" s="108"/>
      <c r="C991" s="108"/>
    </row>
    <row r="992" spans="1:3">
      <c r="A992" s="108"/>
      <c r="B992" s="108"/>
      <c r="C992" s="108"/>
    </row>
    <row r="993" spans="1:3">
      <c r="A993" s="108"/>
      <c r="B993" s="108"/>
      <c r="C993" s="108"/>
    </row>
    <row r="994" spans="1:3">
      <c r="A994" s="108"/>
      <c r="B994" s="108"/>
      <c r="C994" s="108"/>
    </row>
    <row r="995" spans="1:3">
      <c r="A995" s="108"/>
      <c r="B995" s="108"/>
      <c r="C995" s="108"/>
    </row>
    <row r="996" spans="1:3">
      <c r="A996" s="108"/>
      <c r="B996" s="108"/>
      <c r="C996" s="108"/>
    </row>
    <row r="997" spans="1:3">
      <c r="A997" s="108"/>
      <c r="B997" s="108"/>
      <c r="C997" s="108"/>
    </row>
    <row r="998" spans="1:3">
      <c r="A998" s="108"/>
      <c r="B998" s="108"/>
      <c r="C998" s="108"/>
    </row>
    <row r="999" spans="1:3">
      <c r="A999" s="108"/>
      <c r="B999" s="108"/>
      <c r="C999" s="108"/>
    </row>
    <row r="1000" spans="1:3">
      <c r="A1000" s="108"/>
      <c r="B1000" s="108"/>
      <c r="C1000" s="108"/>
    </row>
    <row r="1001" spans="1:3">
      <c r="A1001" s="108"/>
      <c r="B1001" s="108"/>
      <c r="C1001" s="108"/>
    </row>
    <row r="1002" spans="1:3">
      <c r="A1002" s="108"/>
      <c r="B1002" s="108"/>
      <c r="C1002" s="108"/>
    </row>
    <row r="1003" spans="1:3">
      <c r="A1003" s="108"/>
      <c r="B1003" s="108"/>
      <c r="C1003" s="108"/>
    </row>
    <row r="1004" spans="1:3">
      <c r="A1004" s="108"/>
      <c r="B1004" s="108"/>
      <c r="C1004" s="108"/>
    </row>
    <row r="1005" spans="1:3">
      <c r="A1005" s="108"/>
      <c r="B1005" s="108"/>
      <c r="C1005" s="108"/>
    </row>
    <row r="1006" spans="1:3">
      <c r="A1006" s="108"/>
      <c r="B1006" s="108"/>
      <c r="C1006" s="108"/>
    </row>
    <row r="1007" spans="1:3">
      <c r="A1007" s="108"/>
      <c r="B1007" s="108"/>
      <c r="C1007" s="108"/>
    </row>
    <row r="1008" spans="1:3">
      <c r="A1008" s="108"/>
      <c r="B1008" s="108"/>
      <c r="C1008" s="108"/>
    </row>
    <row r="1009" spans="1:3">
      <c r="A1009" s="108"/>
      <c r="B1009" s="108"/>
      <c r="C1009" s="108"/>
    </row>
    <row r="1010" spans="1:3">
      <c r="A1010" s="108"/>
      <c r="B1010" s="108"/>
      <c r="C1010" s="108"/>
    </row>
    <row r="1011" spans="1:3">
      <c r="A1011" s="108"/>
      <c r="B1011" s="108"/>
      <c r="C1011" s="108"/>
    </row>
    <row r="1012" spans="1:3">
      <c r="A1012" s="108"/>
      <c r="B1012" s="108"/>
      <c r="C1012" s="108"/>
    </row>
    <row r="1013" spans="1:3">
      <c r="A1013" s="108"/>
      <c r="B1013" s="108"/>
      <c r="C1013" s="108"/>
    </row>
    <row r="1014" spans="1:3">
      <c r="A1014" s="108"/>
      <c r="B1014" s="108"/>
      <c r="C1014" s="108"/>
    </row>
    <row r="1015" spans="1:3">
      <c r="A1015" s="108"/>
      <c r="B1015" s="108"/>
      <c r="C1015" s="108"/>
    </row>
    <row r="1016" spans="1:3">
      <c r="A1016" s="108"/>
      <c r="B1016" s="108"/>
      <c r="C1016" s="108"/>
    </row>
    <row r="1017" spans="1:3">
      <c r="A1017" s="108"/>
      <c r="B1017" s="108"/>
      <c r="C1017" s="108"/>
    </row>
    <row r="1018" spans="1:3">
      <c r="A1018" s="108"/>
      <c r="B1018" s="108"/>
      <c r="C1018" s="108"/>
    </row>
    <row r="1019" spans="1:3">
      <c r="A1019" s="108"/>
      <c r="B1019" s="108"/>
      <c r="C1019" s="108"/>
    </row>
    <row r="1020" spans="1:3">
      <c r="A1020" s="108"/>
      <c r="B1020" s="108"/>
      <c r="C1020" s="108"/>
    </row>
    <row r="1021" spans="1:3">
      <c r="A1021" s="108"/>
      <c r="B1021" s="108"/>
      <c r="C1021" s="108"/>
    </row>
    <row r="1022" spans="1:3">
      <c r="A1022" s="108"/>
      <c r="B1022" s="108"/>
      <c r="C1022" s="108"/>
    </row>
    <row r="1023" spans="1:3">
      <c r="A1023" s="108"/>
      <c r="B1023" s="108"/>
      <c r="C1023" s="108"/>
    </row>
    <row r="1024" spans="1:3">
      <c r="A1024" s="108"/>
      <c r="B1024" s="108"/>
      <c r="C1024" s="108"/>
    </row>
    <row r="1025" spans="1:3">
      <c r="A1025" s="108"/>
      <c r="B1025" s="108"/>
      <c r="C1025" s="108"/>
    </row>
    <row r="1026" spans="1:3">
      <c r="A1026" s="108"/>
      <c r="B1026" s="108"/>
      <c r="C1026" s="108"/>
    </row>
    <row r="1027" spans="1:3">
      <c r="A1027" s="108"/>
      <c r="B1027" s="108"/>
      <c r="C1027" s="108"/>
    </row>
    <row r="1028" spans="1:3">
      <c r="A1028" s="108"/>
      <c r="B1028" s="108"/>
      <c r="C1028" s="108"/>
    </row>
    <row r="1029" spans="1:3">
      <c r="A1029" s="108"/>
      <c r="B1029" s="108"/>
      <c r="C1029" s="108"/>
    </row>
    <row r="1030" spans="1:3">
      <c r="A1030" s="108"/>
      <c r="B1030" s="108"/>
      <c r="C1030" s="108"/>
    </row>
    <row r="1031" spans="1:3">
      <c r="A1031" s="108"/>
      <c r="B1031" s="108"/>
      <c r="C1031" s="108"/>
    </row>
    <row r="1032" spans="1:3">
      <c r="A1032" s="108"/>
      <c r="B1032" s="108"/>
      <c r="C1032" s="108"/>
    </row>
    <row r="1033" spans="1:3">
      <c r="A1033" s="108"/>
      <c r="B1033" s="108"/>
      <c r="C1033" s="108"/>
    </row>
    <row r="1034" spans="1:3">
      <c r="A1034" s="108"/>
      <c r="B1034" s="108"/>
      <c r="C1034" s="108"/>
    </row>
    <row r="1035" spans="1:3">
      <c r="A1035" s="108"/>
      <c r="B1035" s="108"/>
      <c r="C1035" s="108"/>
    </row>
    <row r="1036" spans="1:3">
      <c r="A1036" s="108"/>
      <c r="B1036" s="108"/>
      <c r="C1036" s="108"/>
    </row>
    <row r="1037" spans="1:3">
      <c r="A1037" s="108"/>
      <c r="B1037" s="108"/>
      <c r="C1037" s="108"/>
    </row>
    <row r="1038" spans="1:3">
      <c r="A1038" s="108"/>
      <c r="B1038" s="108"/>
      <c r="C1038" s="108"/>
    </row>
    <row r="1039" spans="1:3">
      <c r="A1039" s="108"/>
      <c r="B1039" s="108"/>
      <c r="C1039" s="108"/>
    </row>
    <row r="1040" spans="1:3">
      <c r="A1040" s="108"/>
      <c r="B1040" s="108"/>
      <c r="C1040" s="108"/>
    </row>
    <row r="1041" spans="1:3">
      <c r="A1041" s="108"/>
      <c r="B1041" s="108"/>
      <c r="C1041" s="108"/>
    </row>
    <row r="1042" spans="1:3">
      <c r="A1042" s="108"/>
      <c r="B1042" s="108"/>
      <c r="C1042" s="108"/>
    </row>
    <row r="1043" spans="1:3">
      <c r="A1043" s="108"/>
      <c r="B1043" s="108"/>
      <c r="C1043" s="108"/>
    </row>
    <row r="1044" spans="1:3">
      <c r="A1044" s="108"/>
      <c r="B1044" s="108"/>
      <c r="C1044" s="108"/>
    </row>
    <row r="1045" spans="1:3">
      <c r="A1045" s="108"/>
      <c r="B1045" s="108"/>
      <c r="C1045" s="108"/>
    </row>
    <row r="1046" spans="1:3">
      <c r="A1046" s="108"/>
      <c r="B1046" s="108"/>
      <c r="C1046" s="108"/>
    </row>
    <row r="1047" spans="1:3">
      <c r="A1047" s="108"/>
      <c r="B1047" s="108"/>
      <c r="C1047" s="108"/>
    </row>
    <row r="1048" spans="1:3">
      <c r="A1048" s="108"/>
      <c r="B1048" s="108"/>
      <c r="C1048" s="108"/>
    </row>
    <row r="1049" spans="1:3">
      <c r="A1049" s="108"/>
      <c r="B1049" s="108"/>
      <c r="C1049" s="108"/>
    </row>
    <row r="1050" spans="1:3">
      <c r="A1050" s="108"/>
      <c r="B1050" s="108"/>
      <c r="C1050" s="108"/>
    </row>
    <row r="1051" spans="1:3">
      <c r="A1051" s="108"/>
      <c r="B1051" s="108"/>
      <c r="C1051" s="108"/>
    </row>
    <row r="1052" spans="1:3">
      <c r="A1052" s="108"/>
      <c r="B1052" s="108"/>
      <c r="C1052" s="108"/>
    </row>
    <row r="1053" spans="1:3">
      <c r="A1053" s="108"/>
      <c r="B1053" s="108"/>
      <c r="C1053" s="108"/>
    </row>
    <row r="1054" spans="1:3">
      <c r="A1054" s="108"/>
      <c r="B1054" s="108"/>
      <c r="C1054" s="108"/>
    </row>
    <row r="1055" spans="1:3">
      <c r="A1055" s="108"/>
      <c r="B1055" s="108"/>
      <c r="C1055" s="108"/>
    </row>
    <row r="1056" spans="1:3">
      <c r="A1056" s="108"/>
      <c r="B1056" s="108"/>
      <c r="C1056" s="108"/>
    </row>
    <row r="1057" spans="1:3">
      <c r="A1057" s="108"/>
      <c r="B1057" s="108"/>
      <c r="C1057" s="108"/>
    </row>
    <row r="1058" spans="1:3">
      <c r="A1058" s="108"/>
      <c r="B1058" s="108"/>
      <c r="C1058" s="108"/>
    </row>
    <row r="1059" spans="1:3">
      <c r="A1059" s="108"/>
      <c r="B1059" s="108"/>
      <c r="C1059" s="108"/>
    </row>
    <row r="1060" spans="1:3">
      <c r="A1060" s="108"/>
      <c r="B1060" s="108"/>
      <c r="C1060" s="108"/>
    </row>
    <row r="1061" spans="1:3">
      <c r="A1061" s="108"/>
      <c r="B1061" s="108"/>
      <c r="C1061" s="108"/>
    </row>
    <row r="1062" spans="1:3">
      <c r="A1062" s="108"/>
      <c r="B1062" s="108"/>
      <c r="C1062" s="108"/>
    </row>
    <row r="1063" spans="1:3">
      <c r="A1063" s="108"/>
      <c r="B1063" s="108"/>
      <c r="C1063" s="108"/>
    </row>
    <row r="1064" spans="1:3">
      <c r="A1064" s="108"/>
      <c r="B1064" s="108"/>
      <c r="C1064" s="108"/>
    </row>
    <row r="1065" spans="1:3">
      <c r="A1065" s="108"/>
      <c r="B1065" s="108"/>
      <c r="C1065" s="108"/>
    </row>
    <row r="1066" spans="1:3">
      <c r="A1066" s="108"/>
      <c r="B1066" s="108"/>
      <c r="C1066" s="108"/>
    </row>
    <row r="1067" spans="1:3">
      <c r="A1067" s="108"/>
      <c r="B1067" s="108"/>
      <c r="C1067" s="108"/>
    </row>
    <row r="1068" spans="1:3">
      <c r="A1068" s="108"/>
      <c r="B1068" s="108"/>
      <c r="C1068" s="108"/>
    </row>
    <row r="1069" spans="1:3">
      <c r="A1069" s="108"/>
      <c r="B1069" s="108"/>
      <c r="C1069" s="108"/>
    </row>
    <row r="1070" spans="1:3">
      <c r="A1070" s="108"/>
      <c r="B1070" s="108"/>
      <c r="C1070" s="108"/>
    </row>
    <row r="1071" spans="1:3">
      <c r="A1071" s="108"/>
      <c r="B1071" s="108"/>
      <c r="C1071" s="108"/>
    </row>
    <row r="1072" spans="1:3">
      <c r="A1072" s="108"/>
      <c r="B1072" s="108"/>
      <c r="C1072" s="108"/>
    </row>
    <row r="1073" spans="1:3">
      <c r="A1073" s="108"/>
      <c r="B1073" s="108"/>
      <c r="C1073" s="108"/>
    </row>
    <row r="1074" spans="1:3">
      <c r="A1074" s="108"/>
      <c r="B1074" s="108"/>
      <c r="C1074" s="108"/>
    </row>
    <row r="1075" spans="1:3">
      <c r="A1075" s="108"/>
      <c r="B1075" s="108"/>
      <c r="C1075" s="108"/>
    </row>
    <row r="1076" spans="1:3">
      <c r="A1076" s="108"/>
      <c r="B1076" s="108"/>
      <c r="C1076" s="108"/>
    </row>
    <row r="1077" spans="1:3">
      <c r="A1077" s="108"/>
      <c r="B1077" s="108"/>
      <c r="C1077" s="108"/>
    </row>
    <row r="1078" spans="1:3">
      <c r="A1078" s="108"/>
      <c r="B1078" s="108"/>
      <c r="C1078" s="108"/>
    </row>
    <row r="1079" spans="1:3">
      <c r="A1079" s="108"/>
      <c r="B1079" s="108"/>
      <c r="C1079" s="108"/>
    </row>
    <row r="1080" spans="1:3">
      <c r="A1080" s="108"/>
      <c r="B1080" s="108"/>
      <c r="C1080" s="108"/>
    </row>
    <row r="1081" spans="1:3">
      <c r="A1081" s="108"/>
      <c r="B1081" s="108"/>
      <c r="C1081" s="108"/>
    </row>
    <row r="1082" spans="1:3">
      <c r="A1082" s="108"/>
      <c r="B1082" s="108"/>
      <c r="C1082" s="108"/>
    </row>
    <row r="1083" spans="1:3">
      <c r="A1083" s="108"/>
      <c r="B1083" s="108"/>
      <c r="C1083" s="108"/>
    </row>
    <row r="1084" spans="1:3">
      <c r="A1084" s="108"/>
      <c r="B1084" s="108"/>
      <c r="C1084" s="108"/>
    </row>
    <row r="1085" spans="1:3">
      <c r="A1085" s="108"/>
      <c r="B1085" s="108"/>
      <c r="C1085" s="108"/>
    </row>
    <row r="1086" spans="1:3">
      <c r="A1086" s="108"/>
      <c r="B1086" s="108"/>
      <c r="C1086" s="108"/>
    </row>
    <row r="1087" spans="1:3">
      <c r="A1087" s="108"/>
      <c r="B1087" s="108"/>
      <c r="C1087" s="108"/>
    </row>
    <row r="1088" spans="1:3">
      <c r="A1088" s="108"/>
      <c r="B1088" s="108"/>
      <c r="C1088" s="108"/>
    </row>
    <row r="1089" spans="1:3">
      <c r="A1089" s="108"/>
      <c r="B1089" s="108"/>
      <c r="C1089" s="108"/>
    </row>
    <row r="1090" spans="1:3">
      <c r="A1090" s="108"/>
      <c r="B1090" s="108"/>
      <c r="C1090" s="108"/>
    </row>
    <row r="1091" spans="1:3">
      <c r="A1091" s="108"/>
      <c r="B1091" s="108"/>
      <c r="C1091" s="108"/>
    </row>
    <row r="1092" spans="1:3">
      <c r="A1092" s="108"/>
      <c r="B1092" s="108"/>
      <c r="C1092" s="108"/>
    </row>
    <row r="1093" spans="1:3">
      <c r="A1093" s="108"/>
      <c r="B1093" s="108"/>
      <c r="C1093" s="108"/>
    </row>
    <row r="1094" spans="1:3">
      <c r="A1094" s="108"/>
      <c r="B1094" s="108"/>
      <c r="C1094" s="108"/>
    </row>
    <row r="1095" spans="1:3">
      <c r="A1095" s="108"/>
      <c r="B1095" s="108"/>
      <c r="C1095" s="108"/>
    </row>
    <row r="1096" spans="1:3">
      <c r="A1096" s="108"/>
      <c r="B1096" s="108"/>
      <c r="C1096" s="108"/>
    </row>
    <row r="1097" spans="1:3">
      <c r="A1097" s="108"/>
      <c r="B1097" s="108"/>
      <c r="C1097" s="108"/>
    </row>
    <row r="1098" spans="1:3">
      <c r="A1098" s="108"/>
      <c r="B1098" s="108"/>
      <c r="C1098" s="108"/>
    </row>
    <row r="1099" spans="1:3">
      <c r="A1099" s="108"/>
      <c r="B1099" s="108"/>
      <c r="C1099" s="108"/>
    </row>
    <row r="1100" spans="1:3">
      <c r="A1100" s="108"/>
      <c r="B1100" s="108"/>
      <c r="C1100" s="108"/>
    </row>
    <row r="1101" spans="1:3">
      <c r="A1101" s="108"/>
      <c r="B1101" s="108"/>
      <c r="C1101" s="108"/>
    </row>
    <row r="1102" spans="1:3">
      <c r="A1102" s="108"/>
      <c r="B1102" s="108"/>
      <c r="C1102" s="108"/>
    </row>
    <row r="1103" spans="1:3">
      <c r="A1103" s="108"/>
      <c r="B1103" s="108"/>
      <c r="C1103" s="108"/>
    </row>
    <row r="1104" spans="1:3">
      <c r="A1104" s="108"/>
      <c r="B1104" s="108"/>
      <c r="C1104" s="108"/>
    </row>
    <row r="1105" spans="1:3">
      <c r="A1105" s="108"/>
      <c r="B1105" s="108"/>
      <c r="C1105" s="108"/>
    </row>
    <row r="1106" spans="1:3">
      <c r="A1106" s="108"/>
      <c r="B1106" s="108"/>
      <c r="C1106" s="108"/>
    </row>
    <row r="1107" spans="1:3">
      <c r="A1107" s="108"/>
      <c r="B1107" s="108"/>
      <c r="C1107" s="108"/>
    </row>
    <row r="1108" spans="1:3">
      <c r="A1108" s="108"/>
      <c r="B1108" s="108"/>
      <c r="C1108" s="108"/>
    </row>
    <row r="1109" spans="1:3">
      <c r="A1109" s="108"/>
      <c r="B1109" s="108"/>
      <c r="C1109" s="108"/>
    </row>
    <row r="1110" spans="1:3">
      <c r="A1110" s="108"/>
      <c r="B1110" s="108"/>
      <c r="C1110" s="108"/>
    </row>
    <row r="1111" spans="1:3">
      <c r="A1111" s="108"/>
      <c r="B1111" s="108"/>
      <c r="C1111" s="108"/>
    </row>
    <row r="1112" spans="1:3">
      <c r="A1112" s="108"/>
      <c r="B1112" s="108"/>
      <c r="C1112" s="108"/>
    </row>
    <row r="1113" spans="1:3">
      <c r="A1113" s="108"/>
      <c r="B1113" s="108"/>
      <c r="C1113" s="108"/>
    </row>
    <row r="1114" spans="1:3">
      <c r="A1114" s="108"/>
      <c r="B1114" s="108"/>
      <c r="C1114" s="108"/>
    </row>
    <row r="1115" spans="1:3">
      <c r="A1115" s="108"/>
      <c r="B1115" s="108"/>
      <c r="C1115" s="108"/>
    </row>
    <row r="1116" spans="1:3">
      <c r="A1116" s="108"/>
      <c r="B1116" s="108"/>
      <c r="C1116" s="108"/>
    </row>
    <row r="1117" spans="1:3">
      <c r="A1117" s="108"/>
      <c r="B1117" s="108"/>
      <c r="C1117" s="108"/>
    </row>
    <row r="1118" spans="1:3">
      <c r="A1118" s="108"/>
      <c r="B1118" s="108"/>
      <c r="C1118" s="108"/>
    </row>
    <row r="1119" spans="1:3">
      <c r="A1119" s="108"/>
      <c r="B1119" s="108"/>
      <c r="C1119" s="108"/>
    </row>
    <row r="1120" spans="1:3">
      <c r="A1120" s="108"/>
      <c r="B1120" s="108"/>
      <c r="C1120" s="108"/>
    </row>
    <row r="1121" spans="1:3">
      <c r="A1121" s="108"/>
      <c r="B1121" s="108"/>
      <c r="C1121" s="108"/>
    </row>
    <row r="1122" spans="1:3">
      <c r="A1122" s="108"/>
      <c r="B1122" s="108"/>
      <c r="C1122" s="108"/>
    </row>
    <row r="1123" spans="1:3">
      <c r="A1123" s="108"/>
      <c r="B1123" s="108"/>
      <c r="C1123" s="108"/>
    </row>
    <row r="1124" spans="1:3">
      <c r="A1124" s="108"/>
      <c r="B1124" s="108"/>
      <c r="C1124" s="108"/>
    </row>
    <row r="1125" spans="1:3">
      <c r="A1125" s="108"/>
      <c r="B1125" s="108"/>
      <c r="C1125" s="108"/>
    </row>
    <row r="1126" spans="1:3">
      <c r="A1126" s="108"/>
      <c r="B1126" s="108"/>
      <c r="C1126" s="108"/>
    </row>
    <row r="1127" spans="1:3">
      <c r="A1127" s="108"/>
      <c r="B1127" s="108"/>
      <c r="C1127" s="108"/>
    </row>
    <row r="1128" spans="1:3">
      <c r="A1128" s="108"/>
      <c r="B1128" s="108"/>
      <c r="C1128" s="108"/>
    </row>
    <row r="1129" spans="1:3">
      <c r="A1129" s="108"/>
      <c r="B1129" s="108"/>
      <c r="C1129" s="108"/>
    </row>
    <row r="1130" spans="1:3">
      <c r="A1130" s="108"/>
      <c r="B1130" s="108"/>
      <c r="C1130" s="108"/>
    </row>
    <row r="1131" spans="1:3">
      <c r="A1131" s="108"/>
      <c r="B1131" s="108"/>
      <c r="C1131" s="108"/>
    </row>
    <row r="1132" spans="1:3">
      <c r="A1132" s="108"/>
      <c r="B1132" s="108"/>
      <c r="C1132" s="108"/>
    </row>
    <row r="1133" spans="1:3">
      <c r="A1133" s="108"/>
      <c r="B1133" s="108"/>
      <c r="C1133" s="108"/>
    </row>
    <row r="1134" spans="1:3">
      <c r="A1134" s="108"/>
      <c r="B1134" s="108"/>
      <c r="C1134" s="108"/>
    </row>
    <row r="1135" spans="1:3">
      <c r="A1135" s="108"/>
      <c r="B1135" s="108"/>
      <c r="C1135" s="108"/>
    </row>
    <row r="1136" spans="1:3">
      <c r="A1136" s="108"/>
      <c r="B1136" s="108"/>
      <c r="C1136" s="108"/>
    </row>
    <row r="1137" spans="1:3">
      <c r="A1137" s="108"/>
      <c r="B1137" s="108"/>
      <c r="C1137" s="108"/>
    </row>
    <row r="1138" spans="1:3">
      <c r="A1138" s="108"/>
      <c r="B1138" s="108"/>
      <c r="C1138" s="108"/>
    </row>
    <row r="1139" spans="1:3">
      <c r="A1139" s="108"/>
      <c r="B1139" s="108"/>
      <c r="C1139" s="108"/>
    </row>
    <row r="1140" spans="1:3">
      <c r="A1140" s="108"/>
      <c r="B1140" s="108"/>
      <c r="C1140" s="108"/>
    </row>
    <row r="1141" spans="1:3">
      <c r="A1141" s="108"/>
      <c r="B1141" s="108"/>
      <c r="C1141" s="108"/>
    </row>
    <row r="1142" spans="1:3">
      <c r="A1142" s="108"/>
      <c r="B1142" s="108"/>
      <c r="C1142" s="108"/>
    </row>
    <row r="1143" spans="1:3">
      <c r="A1143" s="108"/>
      <c r="B1143" s="108"/>
      <c r="C1143" s="108"/>
    </row>
    <row r="1144" spans="1:3">
      <c r="A1144" s="108"/>
      <c r="B1144" s="108"/>
      <c r="C1144" s="108"/>
    </row>
    <row r="1145" spans="1:3">
      <c r="A1145" s="108"/>
      <c r="B1145" s="108"/>
      <c r="C1145" s="108"/>
    </row>
    <row r="1146" spans="1:3">
      <c r="A1146" s="108"/>
      <c r="B1146" s="108"/>
      <c r="C1146" s="108"/>
    </row>
    <row r="1147" spans="1:3">
      <c r="A1147" s="108"/>
      <c r="B1147" s="108"/>
      <c r="C1147" s="108"/>
    </row>
    <row r="1148" spans="1:3">
      <c r="A1148" s="108"/>
      <c r="B1148" s="108"/>
      <c r="C1148" s="108"/>
    </row>
    <row r="1149" spans="1:3">
      <c r="A1149" s="108"/>
      <c r="B1149" s="108"/>
      <c r="C1149" s="108"/>
    </row>
    <row r="1150" spans="1:3">
      <c r="A1150" s="108"/>
      <c r="B1150" s="108"/>
      <c r="C1150" s="108"/>
    </row>
    <row r="1151" spans="1:3">
      <c r="A1151" s="108"/>
      <c r="B1151" s="108"/>
      <c r="C1151" s="108"/>
    </row>
    <row r="1152" spans="1:3">
      <c r="A1152" s="108"/>
      <c r="B1152" s="108"/>
      <c r="C1152" s="108"/>
    </row>
    <row r="1153" spans="1:3">
      <c r="A1153" s="108"/>
      <c r="B1153" s="108"/>
      <c r="C1153" s="108"/>
    </row>
    <row r="1154" spans="1:3">
      <c r="A1154" s="108"/>
      <c r="B1154" s="108"/>
      <c r="C1154" s="108"/>
    </row>
    <row r="1155" spans="1:3">
      <c r="A1155" s="108"/>
      <c r="B1155" s="108"/>
      <c r="C1155" s="108"/>
    </row>
    <row r="1156" spans="1:3">
      <c r="A1156" s="108"/>
      <c r="B1156" s="108"/>
      <c r="C1156" s="108"/>
    </row>
    <row r="1157" spans="1:3">
      <c r="A1157" s="108"/>
      <c r="B1157" s="108"/>
      <c r="C1157" s="108"/>
    </row>
    <row r="1158" spans="1:3">
      <c r="A1158" s="108"/>
      <c r="B1158" s="108"/>
      <c r="C1158" s="108"/>
    </row>
    <row r="1159" spans="1:3">
      <c r="A1159" s="108"/>
      <c r="B1159" s="108"/>
      <c r="C1159" s="108"/>
    </row>
    <row r="1160" spans="1:3">
      <c r="A1160" s="108"/>
      <c r="B1160" s="108"/>
      <c r="C1160" s="108"/>
    </row>
    <row r="1161" spans="1:3">
      <c r="A1161" s="108"/>
      <c r="B1161" s="108"/>
      <c r="C1161" s="108"/>
    </row>
    <row r="1162" spans="1:3">
      <c r="A1162" s="108"/>
      <c r="B1162" s="108"/>
      <c r="C1162" s="108"/>
    </row>
    <row r="1163" spans="1:3">
      <c r="A1163" s="108"/>
      <c r="B1163" s="108"/>
      <c r="C1163" s="108"/>
    </row>
    <row r="1164" spans="1:3">
      <c r="A1164" s="108"/>
      <c r="B1164" s="108"/>
      <c r="C1164" s="108"/>
    </row>
    <row r="1165" spans="1:3">
      <c r="A1165" s="108"/>
      <c r="B1165" s="108"/>
      <c r="C1165" s="108"/>
    </row>
    <row r="1166" spans="1:3">
      <c r="A1166" s="108"/>
      <c r="B1166" s="108"/>
      <c r="C1166" s="108"/>
    </row>
    <row r="1167" spans="1:3">
      <c r="A1167" s="108"/>
      <c r="B1167" s="108"/>
      <c r="C1167" s="108"/>
    </row>
    <row r="1168" spans="1:3">
      <c r="A1168" s="108"/>
      <c r="B1168" s="108"/>
      <c r="C1168" s="108"/>
    </row>
    <row r="1169" spans="1:3">
      <c r="A1169" s="108"/>
      <c r="B1169" s="108"/>
      <c r="C1169" s="108"/>
    </row>
    <row r="1170" spans="1:3">
      <c r="A1170" s="108"/>
      <c r="B1170" s="108"/>
      <c r="C1170" s="108"/>
    </row>
    <row r="1171" spans="1:3">
      <c r="A1171" s="108"/>
      <c r="B1171" s="108"/>
      <c r="C1171" s="108"/>
    </row>
    <row r="1172" spans="1:3">
      <c r="A1172" s="108"/>
      <c r="B1172" s="108"/>
      <c r="C1172" s="108"/>
    </row>
    <row r="1173" spans="1:3">
      <c r="A1173" s="108"/>
      <c r="B1173" s="108"/>
      <c r="C1173" s="108"/>
    </row>
    <row r="1174" spans="1:3">
      <c r="A1174" s="108"/>
      <c r="B1174" s="108"/>
      <c r="C1174" s="108"/>
    </row>
    <row r="1175" spans="1:3">
      <c r="A1175" s="108"/>
      <c r="B1175" s="108"/>
      <c r="C1175" s="108"/>
    </row>
    <row r="1176" spans="1:3">
      <c r="A1176" s="108"/>
      <c r="B1176" s="108"/>
      <c r="C1176" s="108"/>
    </row>
    <row r="1177" spans="1:3">
      <c r="A1177" s="108"/>
      <c r="B1177" s="108"/>
      <c r="C1177" s="108"/>
    </row>
    <row r="1178" spans="1:3">
      <c r="A1178" s="108"/>
      <c r="B1178" s="108"/>
      <c r="C1178" s="108"/>
    </row>
    <row r="1179" spans="1:3">
      <c r="A1179" s="108"/>
      <c r="B1179" s="108"/>
      <c r="C1179" s="108"/>
    </row>
    <row r="1180" spans="1:3">
      <c r="A1180" s="108"/>
      <c r="B1180" s="108"/>
      <c r="C1180" s="108"/>
    </row>
    <row r="1181" spans="1:3">
      <c r="A1181" s="108"/>
      <c r="B1181" s="108"/>
      <c r="C1181" s="108"/>
    </row>
    <row r="1182" spans="1:3">
      <c r="A1182" s="108"/>
      <c r="B1182" s="108"/>
      <c r="C1182" s="108"/>
    </row>
    <row r="1183" spans="1:3">
      <c r="A1183" s="108"/>
      <c r="B1183" s="108"/>
      <c r="C1183" s="108"/>
    </row>
    <row r="1184" spans="1:3">
      <c r="A1184" s="108"/>
      <c r="B1184" s="108"/>
      <c r="C1184" s="108"/>
    </row>
    <row r="1185" spans="1:3">
      <c r="A1185" s="108"/>
      <c r="B1185" s="108"/>
      <c r="C1185" s="108"/>
    </row>
    <row r="1186" spans="1:3">
      <c r="A1186" s="108"/>
      <c r="B1186" s="108"/>
      <c r="C1186" s="108"/>
    </row>
    <row r="1187" spans="1:3">
      <c r="A1187" s="108"/>
      <c r="B1187" s="108"/>
      <c r="C1187" s="108"/>
    </row>
    <row r="1188" spans="1:3">
      <c r="A1188" s="108"/>
      <c r="B1188" s="108"/>
      <c r="C1188" s="108"/>
    </row>
    <row r="1189" spans="1:3">
      <c r="A1189" s="108"/>
      <c r="B1189" s="108"/>
      <c r="C1189" s="108"/>
    </row>
    <row r="1190" spans="1:3">
      <c r="A1190" s="108"/>
      <c r="B1190" s="108"/>
      <c r="C1190" s="108"/>
    </row>
    <row r="1191" spans="1:3">
      <c r="A1191" s="108"/>
      <c r="B1191" s="108"/>
      <c r="C1191" s="108"/>
    </row>
    <row r="1192" spans="1:3">
      <c r="A1192" s="108"/>
      <c r="B1192" s="108"/>
      <c r="C1192" s="108"/>
    </row>
    <row r="1193" spans="1:3">
      <c r="A1193" s="108"/>
      <c r="B1193" s="108"/>
      <c r="C1193" s="108"/>
    </row>
    <row r="1194" spans="1:3">
      <c r="A1194" s="108"/>
      <c r="B1194" s="108"/>
      <c r="C1194" s="108"/>
    </row>
    <row r="1195" spans="1:3">
      <c r="A1195" s="108"/>
      <c r="B1195" s="108"/>
      <c r="C1195" s="108"/>
    </row>
    <row r="1196" spans="1:3">
      <c r="A1196" s="108"/>
      <c r="B1196" s="108"/>
      <c r="C1196" s="108"/>
    </row>
    <row r="1197" spans="1:3">
      <c r="A1197" s="108"/>
      <c r="B1197" s="108"/>
      <c r="C1197" s="108"/>
    </row>
    <row r="1198" spans="1:3">
      <c r="A1198" s="108"/>
      <c r="B1198" s="108"/>
      <c r="C1198" s="108"/>
    </row>
    <row r="1199" spans="1:3">
      <c r="A1199" s="108"/>
      <c r="B1199" s="108"/>
      <c r="C1199" s="108"/>
    </row>
    <row r="1200" spans="1:3">
      <c r="A1200" s="108"/>
      <c r="B1200" s="108"/>
      <c r="C1200" s="108"/>
    </row>
    <row r="1201" spans="1:3">
      <c r="A1201" s="108"/>
      <c r="B1201" s="108"/>
      <c r="C1201" s="108"/>
    </row>
    <row r="1202" spans="1:3">
      <c r="A1202" s="108"/>
      <c r="B1202" s="108"/>
      <c r="C1202" s="108"/>
    </row>
    <row r="1203" spans="1:3">
      <c r="A1203" s="108"/>
      <c r="B1203" s="108"/>
      <c r="C1203" s="108"/>
    </row>
    <row r="1204" spans="1:3">
      <c r="A1204" s="108"/>
      <c r="B1204" s="108"/>
      <c r="C1204" s="108"/>
    </row>
    <row r="1205" spans="1:3">
      <c r="A1205" s="108"/>
      <c r="B1205" s="108"/>
      <c r="C1205" s="108"/>
    </row>
    <row r="1206" spans="1:3">
      <c r="A1206" s="108"/>
      <c r="B1206" s="108"/>
      <c r="C1206" s="108"/>
    </row>
    <row r="1207" spans="1:3">
      <c r="A1207" s="108"/>
      <c r="B1207" s="108"/>
      <c r="C1207" s="108"/>
    </row>
    <row r="1208" spans="1:3">
      <c r="A1208" s="108"/>
      <c r="B1208" s="108"/>
      <c r="C1208" s="108"/>
    </row>
    <row r="1209" spans="1:3">
      <c r="A1209" s="108"/>
      <c r="B1209" s="108"/>
      <c r="C1209" s="108"/>
    </row>
    <row r="1210" spans="1:3">
      <c r="A1210" s="108"/>
      <c r="B1210" s="108"/>
      <c r="C1210" s="108"/>
    </row>
    <row r="1211" spans="1:3">
      <c r="A1211" s="108"/>
      <c r="B1211" s="108"/>
      <c r="C1211" s="108"/>
    </row>
    <row r="1212" spans="1:3">
      <c r="A1212" s="108"/>
      <c r="B1212" s="108"/>
      <c r="C1212" s="108"/>
    </row>
    <row r="1213" spans="1:3">
      <c r="A1213" s="108"/>
      <c r="B1213" s="108"/>
      <c r="C1213" s="108"/>
    </row>
    <row r="1214" spans="1:3">
      <c r="A1214" s="108"/>
      <c r="B1214" s="108"/>
      <c r="C1214" s="108"/>
    </row>
    <row r="1215" spans="1:3">
      <c r="A1215" s="108"/>
      <c r="B1215" s="108"/>
      <c r="C1215" s="108"/>
    </row>
    <row r="1216" spans="1:3">
      <c r="A1216" s="108"/>
      <c r="B1216" s="108"/>
      <c r="C1216" s="108"/>
    </row>
    <row r="1217" spans="1:3">
      <c r="A1217" s="108"/>
      <c r="B1217" s="108"/>
      <c r="C1217" s="108"/>
    </row>
    <row r="1218" spans="1:3">
      <c r="A1218" s="108"/>
      <c r="B1218" s="108"/>
      <c r="C1218" s="108"/>
    </row>
    <row r="1219" spans="1:3">
      <c r="A1219" s="108"/>
      <c r="B1219" s="108"/>
      <c r="C1219" s="108"/>
    </row>
    <row r="1220" spans="1:3">
      <c r="A1220" s="108"/>
      <c r="B1220" s="108"/>
      <c r="C1220" s="108"/>
    </row>
    <row r="1221" spans="1:3">
      <c r="A1221" s="108"/>
      <c r="B1221" s="108"/>
      <c r="C1221" s="108"/>
    </row>
    <row r="1222" spans="1:3">
      <c r="A1222" s="108"/>
      <c r="B1222" s="108"/>
      <c r="C1222" s="108"/>
    </row>
    <row r="1223" spans="1:3">
      <c r="A1223" s="108"/>
      <c r="B1223" s="108"/>
      <c r="C1223" s="108"/>
    </row>
    <row r="1224" spans="1:3">
      <c r="A1224" s="108"/>
      <c r="B1224" s="108"/>
      <c r="C1224" s="108"/>
    </row>
    <row r="1225" spans="1:3">
      <c r="A1225" s="108"/>
      <c r="B1225" s="108"/>
      <c r="C1225" s="108"/>
    </row>
    <row r="1226" spans="1:3">
      <c r="A1226" s="108"/>
      <c r="B1226" s="108"/>
      <c r="C1226" s="108"/>
    </row>
    <row r="1227" spans="1:3">
      <c r="A1227" s="108"/>
      <c r="B1227" s="108"/>
      <c r="C1227" s="108"/>
    </row>
    <row r="1228" spans="1:3">
      <c r="A1228" s="108"/>
      <c r="B1228" s="108"/>
      <c r="C1228" s="108"/>
    </row>
    <row r="1229" spans="1:3">
      <c r="A1229" s="108"/>
      <c r="B1229" s="108"/>
      <c r="C1229" s="108"/>
    </row>
    <row r="1230" spans="1:3">
      <c r="A1230" s="108"/>
      <c r="B1230" s="108"/>
      <c r="C1230" s="108"/>
    </row>
    <row r="1231" spans="1:3">
      <c r="A1231" s="108"/>
      <c r="B1231" s="108"/>
      <c r="C1231" s="108"/>
    </row>
    <row r="1232" spans="1:3">
      <c r="A1232" s="108"/>
      <c r="B1232" s="108"/>
      <c r="C1232" s="108"/>
    </row>
    <row r="1233" spans="1:3">
      <c r="A1233" s="108"/>
      <c r="B1233" s="108"/>
      <c r="C1233" s="108"/>
    </row>
    <row r="1234" spans="1:3">
      <c r="A1234" s="108"/>
      <c r="B1234" s="108"/>
      <c r="C1234" s="108"/>
    </row>
    <row r="1235" spans="1:3">
      <c r="A1235" s="108"/>
      <c r="B1235" s="108"/>
      <c r="C1235" s="108"/>
    </row>
    <row r="1236" spans="1:3">
      <c r="A1236" s="108"/>
      <c r="B1236" s="108"/>
      <c r="C1236" s="108"/>
    </row>
    <row r="1237" spans="1:3">
      <c r="A1237" s="108"/>
      <c r="B1237" s="108"/>
      <c r="C1237" s="108"/>
    </row>
    <row r="1238" spans="1:3">
      <c r="A1238" s="108"/>
      <c r="B1238" s="108"/>
      <c r="C1238" s="108"/>
    </row>
    <row r="1239" spans="1:3">
      <c r="A1239" s="108"/>
      <c r="B1239" s="108"/>
      <c r="C1239" s="108"/>
    </row>
    <row r="1240" spans="1:3">
      <c r="A1240" s="108"/>
      <c r="B1240" s="108"/>
      <c r="C1240" s="108"/>
    </row>
    <row r="1241" spans="1:3">
      <c r="A1241" s="108"/>
      <c r="B1241" s="108"/>
      <c r="C1241" s="108"/>
    </row>
    <row r="1242" spans="1:3">
      <c r="A1242" s="108"/>
      <c r="B1242" s="108"/>
      <c r="C1242" s="108"/>
    </row>
    <row r="1243" spans="1:3">
      <c r="A1243" s="108"/>
      <c r="B1243" s="108"/>
      <c r="C1243" s="108"/>
    </row>
    <row r="1244" spans="1:3">
      <c r="A1244" s="108"/>
      <c r="B1244" s="108"/>
      <c r="C1244" s="108"/>
    </row>
    <row r="1245" spans="1:3">
      <c r="A1245" s="108"/>
      <c r="B1245" s="108"/>
      <c r="C1245" s="108"/>
    </row>
    <row r="1246" spans="1:3">
      <c r="A1246" s="108"/>
      <c r="B1246" s="108"/>
      <c r="C1246" s="108"/>
    </row>
    <row r="1247" spans="1:3">
      <c r="A1247" s="108"/>
      <c r="B1247" s="108"/>
      <c r="C1247" s="108"/>
    </row>
    <row r="1248" spans="1:3">
      <c r="A1248" s="108"/>
      <c r="B1248" s="108"/>
      <c r="C1248" s="108"/>
    </row>
    <row r="1249" spans="1:3">
      <c r="A1249" s="108"/>
      <c r="B1249" s="108"/>
      <c r="C1249" s="108"/>
    </row>
    <row r="1250" spans="1:3">
      <c r="A1250" s="108"/>
      <c r="B1250" s="108"/>
      <c r="C1250" s="108"/>
    </row>
    <row r="1251" spans="1:3">
      <c r="A1251" s="108"/>
      <c r="B1251" s="108"/>
      <c r="C1251" s="108"/>
    </row>
    <row r="1252" spans="1:3">
      <c r="A1252" s="108"/>
      <c r="B1252" s="108"/>
      <c r="C1252" s="108"/>
    </row>
    <row r="1253" spans="1:3">
      <c r="A1253" s="108"/>
      <c r="B1253" s="108"/>
      <c r="C1253" s="108"/>
    </row>
    <row r="1254" spans="1:3">
      <c r="A1254" s="108"/>
      <c r="B1254" s="108"/>
      <c r="C1254" s="108"/>
    </row>
    <row r="1255" spans="1:3">
      <c r="A1255" s="108"/>
      <c r="B1255" s="108"/>
      <c r="C1255" s="108"/>
    </row>
    <row r="1256" spans="1:3">
      <c r="A1256" s="108"/>
      <c r="B1256" s="108"/>
      <c r="C1256" s="108"/>
    </row>
    <row r="1257" spans="1:3">
      <c r="A1257" s="108"/>
      <c r="B1257" s="108"/>
      <c r="C1257" s="108"/>
    </row>
    <row r="1258" spans="1:3">
      <c r="A1258" s="108"/>
      <c r="B1258" s="108"/>
      <c r="C1258" s="108"/>
    </row>
    <row r="1259" spans="1:3">
      <c r="A1259" s="108"/>
      <c r="B1259" s="108"/>
      <c r="C1259" s="108"/>
    </row>
    <row r="1260" spans="1:3">
      <c r="A1260" s="108"/>
      <c r="B1260" s="108"/>
      <c r="C1260" s="108"/>
    </row>
    <row r="1261" spans="1:3">
      <c r="A1261" s="108"/>
      <c r="B1261" s="108"/>
      <c r="C1261" s="108"/>
    </row>
    <row r="1262" spans="1:3">
      <c r="A1262" s="108"/>
      <c r="B1262" s="108"/>
      <c r="C1262" s="108"/>
    </row>
    <row r="1263" spans="1:3">
      <c r="A1263" s="108"/>
      <c r="B1263" s="108"/>
      <c r="C1263" s="108"/>
    </row>
    <row r="1264" spans="1:3">
      <c r="A1264" s="108"/>
      <c r="B1264" s="108"/>
      <c r="C1264" s="108"/>
    </row>
    <row r="1265" spans="1:3">
      <c r="A1265" s="108"/>
      <c r="B1265" s="108"/>
      <c r="C1265" s="108"/>
    </row>
    <row r="1266" spans="1:3">
      <c r="A1266" s="108"/>
      <c r="B1266" s="108"/>
      <c r="C1266" s="108"/>
    </row>
    <row r="1267" spans="1:3">
      <c r="A1267" s="108"/>
      <c r="B1267" s="108"/>
      <c r="C1267" s="108"/>
    </row>
    <row r="1268" spans="1:3">
      <c r="A1268" s="108"/>
      <c r="B1268" s="108"/>
      <c r="C1268" s="108"/>
    </row>
    <row r="1269" spans="1:3">
      <c r="A1269" s="108"/>
      <c r="B1269" s="108"/>
      <c r="C1269" s="108"/>
    </row>
    <row r="1270" spans="1:3">
      <c r="A1270" s="108"/>
      <c r="B1270" s="108"/>
      <c r="C1270" s="108"/>
    </row>
    <row r="1271" spans="1:3">
      <c r="A1271" s="108"/>
      <c r="B1271" s="108"/>
      <c r="C1271" s="108"/>
    </row>
    <row r="1272" spans="1:3">
      <c r="A1272" s="108"/>
      <c r="B1272" s="108"/>
      <c r="C1272" s="108"/>
    </row>
    <row r="1273" spans="1:3">
      <c r="A1273" s="108"/>
      <c r="B1273" s="108"/>
      <c r="C1273" s="108"/>
    </row>
    <row r="1274" spans="1:3">
      <c r="A1274" s="108"/>
      <c r="B1274" s="108"/>
      <c r="C1274" s="108"/>
    </row>
    <row r="1275" spans="1:3">
      <c r="A1275" s="108"/>
      <c r="B1275" s="108"/>
      <c r="C1275" s="108"/>
    </row>
    <row r="1276" spans="1:3">
      <c r="A1276" s="108"/>
      <c r="B1276" s="108"/>
      <c r="C1276" s="108"/>
    </row>
    <row r="1277" spans="1:3">
      <c r="A1277" s="108"/>
      <c r="B1277" s="108"/>
      <c r="C1277" s="108"/>
    </row>
    <row r="1278" spans="1:3">
      <c r="A1278" s="108"/>
      <c r="B1278" s="108"/>
      <c r="C1278" s="108"/>
    </row>
    <row r="1279" spans="1:3">
      <c r="A1279" s="108"/>
      <c r="B1279" s="108"/>
      <c r="C1279" s="108"/>
    </row>
    <row r="1280" spans="1:3">
      <c r="A1280" s="108"/>
      <c r="B1280" s="108"/>
      <c r="C1280" s="108"/>
    </row>
    <row r="1281" spans="1:3">
      <c r="A1281" s="108"/>
      <c r="B1281" s="108"/>
      <c r="C1281" s="108"/>
    </row>
    <row r="1282" spans="1:3">
      <c r="A1282" s="108"/>
      <c r="B1282" s="108"/>
      <c r="C1282" s="108"/>
    </row>
    <row r="1283" spans="1:3">
      <c r="A1283" s="108"/>
      <c r="B1283" s="108"/>
      <c r="C1283" s="108"/>
    </row>
    <row r="1284" spans="1:3">
      <c r="A1284" s="108"/>
      <c r="B1284" s="108"/>
      <c r="C1284" s="108"/>
    </row>
    <row r="1285" spans="1:3">
      <c r="A1285" s="108"/>
      <c r="B1285" s="108"/>
      <c r="C1285" s="108"/>
    </row>
    <row r="1286" spans="1:3">
      <c r="A1286" s="108"/>
      <c r="B1286" s="108"/>
      <c r="C1286" s="108"/>
    </row>
    <row r="1287" spans="1:3">
      <c r="A1287" s="108"/>
      <c r="B1287" s="108"/>
      <c r="C1287" s="108"/>
    </row>
    <row r="1288" spans="1:3">
      <c r="A1288" s="108"/>
      <c r="B1288" s="108"/>
      <c r="C1288" s="108"/>
    </row>
    <row r="1289" spans="1:3">
      <c r="A1289" s="108"/>
      <c r="B1289" s="108"/>
      <c r="C1289" s="108"/>
    </row>
    <row r="1290" spans="1:3">
      <c r="A1290" s="108"/>
      <c r="B1290" s="108"/>
      <c r="C1290" s="108"/>
    </row>
    <row r="1291" spans="1:3">
      <c r="A1291" s="108"/>
      <c r="B1291" s="108"/>
      <c r="C1291" s="108"/>
    </row>
    <row r="1292" spans="1:3">
      <c r="A1292" s="108"/>
      <c r="B1292" s="108"/>
      <c r="C1292" s="108"/>
    </row>
    <row r="1293" spans="1:3">
      <c r="A1293" s="108"/>
      <c r="B1293" s="108"/>
      <c r="C1293" s="108"/>
    </row>
    <row r="1294" spans="1:3">
      <c r="A1294" s="108"/>
      <c r="B1294" s="108"/>
      <c r="C1294" s="108"/>
    </row>
    <row r="1295" spans="1:3">
      <c r="A1295" s="108"/>
      <c r="B1295" s="108"/>
      <c r="C1295" s="108"/>
    </row>
    <row r="1296" spans="1:3">
      <c r="A1296" s="108"/>
      <c r="B1296" s="108"/>
      <c r="C1296" s="108"/>
    </row>
    <row r="1297" spans="1:3">
      <c r="A1297" s="108"/>
      <c r="B1297" s="108"/>
      <c r="C1297" s="108"/>
    </row>
    <row r="1298" spans="1:3">
      <c r="A1298" s="108"/>
      <c r="B1298" s="108"/>
      <c r="C1298" s="108"/>
    </row>
    <row r="1299" spans="1:3">
      <c r="A1299" s="108"/>
      <c r="B1299" s="108"/>
      <c r="C1299" s="108"/>
    </row>
    <row r="1300" spans="1:3">
      <c r="A1300" s="108"/>
      <c r="B1300" s="108"/>
      <c r="C1300" s="108"/>
    </row>
    <row r="1301" spans="1:3">
      <c r="A1301" s="108"/>
      <c r="B1301" s="108"/>
      <c r="C1301" s="108"/>
    </row>
    <row r="1302" spans="1:3">
      <c r="A1302" s="108"/>
      <c r="B1302" s="108"/>
      <c r="C1302" s="108"/>
    </row>
    <row r="1303" spans="1:3">
      <c r="A1303" s="108"/>
      <c r="B1303" s="108"/>
      <c r="C1303" s="108"/>
    </row>
    <row r="1304" spans="1:3">
      <c r="A1304" s="108"/>
      <c r="B1304" s="108"/>
      <c r="C1304" s="108"/>
    </row>
    <row r="1305" spans="1:3">
      <c r="A1305" s="108"/>
      <c r="B1305" s="108"/>
      <c r="C1305" s="108"/>
    </row>
    <row r="1306" spans="1:3">
      <c r="A1306" s="108"/>
      <c r="B1306" s="108"/>
      <c r="C1306" s="108"/>
    </row>
    <row r="1307" spans="1:3">
      <c r="A1307" s="108"/>
      <c r="B1307" s="108"/>
      <c r="C1307" s="108"/>
    </row>
    <row r="1308" spans="1:3">
      <c r="A1308" s="108"/>
      <c r="B1308" s="108"/>
      <c r="C1308" s="108"/>
    </row>
    <row r="1309" spans="1:3">
      <c r="A1309" s="108"/>
      <c r="B1309" s="108"/>
      <c r="C1309" s="108"/>
    </row>
    <row r="1310" spans="1:3">
      <c r="A1310" s="108"/>
      <c r="B1310" s="108"/>
      <c r="C1310" s="108"/>
    </row>
    <row r="1311" spans="1:3">
      <c r="A1311" s="108"/>
      <c r="B1311" s="108"/>
      <c r="C1311" s="108"/>
    </row>
    <row r="1312" spans="1:3">
      <c r="A1312" s="108"/>
      <c r="B1312" s="108"/>
      <c r="C1312" s="108"/>
    </row>
    <row r="1313" spans="1:3">
      <c r="A1313" s="108"/>
      <c r="B1313" s="108"/>
      <c r="C1313" s="108"/>
    </row>
    <row r="1314" spans="1:3">
      <c r="A1314" s="108"/>
      <c r="B1314" s="108"/>
      <c r="C1314" s="108"/>
    </row>
    <row r="1315" spans="1:3">
      <c r="A1315" s="108"/>
      <c r="B1315" s="108"/>
      <c r="C1315" s="108"/>
    </row>
    <row r="1316" spans="1:3">
      <c r="A1316" s="108"/>
      <c r="B1316" s="108"/>
      <c r="C1316" s="108"/>
    </row>
    <row r="1317" spans="1:3">
      <c r="A1317" s="108"/>
      <c r="B1317" s="108"/>
      <c r="C1317" s="108"/>
    </row>
    <row r="1318" spans="1:3">
      <c r="A1318" s="108"/>
      <c r="B1318" s="108"/>
      <c r="C1318" s="108"/>
    </row>
    <row r="1319" spans="1:3">
      <c r="A1319" s="108"/>
      <c r="B1319" s="108"/>
      <c r="C1319" s="108"/>
    </row>
    <row r="1320" spans="1:3">
      <c r="A1320" s="108"/>
      <c r="B1320" s="108"/>
      <c r="C1320" s="108"/>
    </row>
    <row r="1321" spans="1:3">
      <c r="A1321" s="108"/>
      <c r="B1321" s="108"/>
      <c r="C1321" s="108"/>
    </row>
    <row r="1322" spans="1:3">
      <c r="A1322" s="108"/>
      <c r="B1322" s="108"/>
      <c r="C1322" s="108"/>
    </row>
    <row r="1323" spans="1:3">
      <c r="A1323" s="108"/>
      <c r="B1323" s="108"/>
      <c r="C1323" s="108"/>
    </row>
    <row r="1324" spans="1:3">
      <c r="A1324" s="108"/>
      <c r="B1324" s="108"/>
      <c r="C1324" s="108"/>
    </row>
    <row r="1325" spans="1:3">
      <c r="A1325" s="108"/>
      <c r="B1325" s="108"/>
      <c r="C1325" s="108"/>
    </row>
    <row r="1326" spans="1:3">
      <c r="A1326" s="108"/>
      <c r="B1326" s="108"/>
      <c r="C1326" s="108"/>
    </row>
    <row r="1327" spans="1:3">
      <c r="A1327" s="108"/>
      <c r="B1327" s="108"/>
      <c r="C1327" s="108"/>
    </row>
    <row r="1328" spans="1:3">
      <c r="A1328" s="108"/>
      <c r="B1328" s="108"/>
      <c r="C1328" s="108"/>
    </row>
    <row r="1329" spans="1:3">
      <c r="A1329" s="108"/>
      <c r="B1329" s="108"/>
      <c r="C1329" s="108"/>
    </row>
    <row r="1330" spans="1:3">
      <c r="A1330" s="108"/>
      <c r="B1330" s="108"/>
      <c r="C1330" s="108"/>
    </row>
    <row r="1331" spans="1:3">
      <c r="A1331" s="108"/>
      <c r="B1331" s="108"/>
      <c r="C1331" s="108"/>
    </row>
    <row r="1332" spans="1:3">
      <c r="A1332" s="108"/>
      <c r="B1332" s="108"/>
      <c r="C1332" s="108"/>
    </row>
    <row r="1333" spans="1:3">
      <c r="A1333" s="108"/>
      <c r="B1333" s="108"/>
      <c r="C1333" s="108"/>
    </row>
    <row r="1334" spans="1:3">
      <c r="A1334" s="108"/>
      <c r="B1334" s="108"/>
      <c r="C1334" s="108"/>
    </row>
    <row r="1335" spans="1:3">
      <c r="A1335" s="108"/>
      <c r="B1335" s="108"/>
      <c r="C1335" s="108"/>
    </row>
    <row r="1336" spans="1:3">
      <c r="A1336" s="108"/>
      <c r="B1336" s="108"/>
      <c r="C1336" s="108"/>
    </row>
    <row r="1337" spans="1:3">
      <c r="A1337" s="108"/>
      <c r="B1337" s="108"/>
      <c r="C1337" s="108"/>
    </row>
    <row r="1338" spans="1:3">
      <c r="A1338" s="108"/>
      <c r="B1338" s="108"/>
      <c r="C1338" s="108"/>
    </row>
    <row r="1339" spans="1:3">
      <c r="A1339" s="108"/>
      <c r="B1339" s="108"/>
      <c r="C1339" s="108"/>
    </row>
    <row r="1340" spans="1:3">
      <c r="A1340" s="108"/>
      <c r="B1340" s="108"/>
      <c r="C1340" s="108"/>
    </row>
    <row r="1341" spans="1:3">
      <c r="A1341" s="108"/>
      <c r="B1341" s="108"/>
      <c r="C1341" s="108"/>
    </row>
    <row r="1342" spans="1:3">
      <c r="A1342" s="108"/>
      <c r="B1342" s="108"/>
      <c r="C1342" s="108"/>
    </row>
    <row r="1343" spans="1:3">
      <c r="A1343" s="108"/>
      <c r="B1343" s="108"/>
      <c r="C1343" s="108"/>
    </row>
    <row r="1344" spans="1:3">
      <c r="A1344" s="108"/>
      <c r="B1344" s="108"/>
      <c r="C1344" s="108"/>
    </row>
    <row r="1345" spans="1:3">
      <c r="A1345" s="108"/>
      <c r="B1345" s="108"/>
      <c r="C1345" s="108"/>
    </row>
    <row r="1346" spans="1:3">
      <c r="A1346" s="108"/>
      <c r="B1346" s="108"/>
      <c r="C1346" s="108"/>
    </row>
    <row r="1347" spans="1:3">
      <c r="A1347" s="108"/>
      <c r="B1347" s="108"/>
      <c r="C1347" s="108"/>
    </row>
    <row r="1348" spans="1:3">
      <c r="A1348" s="108"/>
      <c r="B1348" s="108"/>
      <c r="C1348" s="108"/>
    </row>
    <row r="1349" spans="1:3">
      <c r="A1349" s="108"/>
      <c r="B1349" s="108"/>
      <c r="C1349" s="108"/>
    </row>
    <row r="1350" spans="1:3">
      <c r="A1350" s="108"/>
      <c r="B1350" s="108"/>
      <c r="C1350" s="108"/>
    </row>
    <row r="1351" spans="1:3">
      <c r="A1351" s="108"/>
      <c r="B1351" s="108"/>
      <c r="C1351" s="108"/>
    </row>
    <row r="1352" spans="1:3">
      <c r="A1352" s="108"/>
      <c r="B1352" s="108"/>
      <c r="C1352" s="108"/>
    </row>
    <row r="1353" spans="1:3">
      <c r="A1353" s="108"/>
      <c r="B1353" s="108"/>
      <c r="C1353" s="108"/>
    </row>
    <row r="1354" spans="1:3">
      <c r="A1354" s="108"/>
      <c r="B1354" s="108"/>
      <c r="C1354" s="108"/>
    </row>
    <row r="1355" spans="1:3">
      <c r="A1355" s="108"/>
      <c r="B1355" s="108"/>
      <c r="C1355" s="108"/>
    </row>
    <row r="1356" spans="1:3">
      <c r="A1356" s="108"/>
      <c r="B1356" s="108"/>
      <c r="C1356" s="108"/>
    </row>
    <row r="1357" spans="1:3">
      <c r="A1357" s="108"/>
      <c r="B1357" s="108"/>
      <c r="C1357" s="108"/>
    </row>
    <row r="1358" spans="1:3">
      <c r="A1358" s="108"/>
      <c r="B1358" s="108"/>
      <c r="C1358" s="108"/>
    </row>
    <row r="1359" spans="1:3">
      <c r="A1359" s="108"/>
      <c r="B1359" s="108"/>
      <c r="C1359" s="108"/>
    </row>
    <row r="1360" spans="1:3">
      <c r="A1360" s="108"/>
      <c r="B1360" s="108"/>
      <c r="C1360" s="108"/>
    </row>
    <row r="1361" spans="1:3">
      <c r="A1361" s="108"/>
      <c r="B1361" s="108"/>
      <c r="C1361" s="108"/>
    </row>
    <row r="1362" spans="1:3">
      <c r="A1362" s="108"/>
      <c r="B1362" s="108"/>
      <c r="C1362" s="108"/>
    </row>
    <row r="1363" spans="1:3">
      <c r="A1363" s="108"/>
      <c r="B1363" s="108"/>
      <c r="C1363" s="108"/>
    </row>
    <row r="1364" spans="1:3">
      <c r="A1364" s="108"/>
      <c r="B1364" s="108"/>
      <c r="C1364" s="108"/>
    </row>
    <row r="1365" spans="1:3">
      <c r="A1365" s="108"/>
      <c r="B1365" s="108"/>
      <c r="C1365" s="108"/>
    </row>
    <row r="1366" spans="1:3">
      <c r="A1366" s="108"/>
      <c r="B1366" s="108"/>
      <c r="C1366" s="108"/>
    </row>
    <row r="1367" spans="1:3">
      <c r="A1367" s="108"/>
      <c r="B1367" s="108"/>
      <c r="C1367" s="108"/>
    </row>
    <row r="1368" spans="1:3">
      <c r="A1368" s="108"/>
      <c r="B1368" s="108"/>
      <c r="C1368" s="108"/>
    </row>
    <row r="1369" spans="1:3">
      <c r="A1369" s="108"/>
      <c r="B1369" s="108"/>
      <c r="C1369" s="108"/>
    </row>
    <row r="1370" spans="1:3">
      <c r="A1370" s="108"/>
      <c r="B1370" s="108"/>
      <c r="C1370" s="108"/>
    </row>
    <row r="1371" spans="1:3">
      <c r="A1371" s="108"/>
      <c r="B1371" s="108"/>
      <c r="C1371" s="108"/>
    </row>
    <row r="1372" spans="1:3">
      <c r="A1372" s="108"/>
      <c r="B1372" s="108"/>
      <c r="C1372" s="108"/>
    </row>
    <row r="1373" spans="1:3">
      <c r="A1373" s="108"/>
      <c r="B1373" s="108"/>
      <c r="C1373" s="108"/>
    </row>
    <row r="1374" spans="1:3">
      <c r="A1374" s="108"/>
      <c r="B1374" s="108"/>
      <c r="C1374" s="108"/>
    </row>
    <row r="1375" spans="1:3">
      <c r="A1375" s="108"/>
      <c r="B1375" s="108"/>
      <c r="C1375" s="108"/>
    </row>
    <row r="1376" spans="1:3">
      <c r="A1376" s="108"/>
      <c r="B1376" s="108"/>
      <c r="C1376" s="108"/>
    </row>
    <row r="1377" spans="1:3">
      <c r="A1377" s="108"/>
      <c r="B1377" s="108"/>
      <c r="C1377" s="108"/>
    </row>
    <row r="1378" spans="1:3">
      <c r="A1378" s="108"/>
      <c r="B1378" s="108"/>
      <c r="C1378" s="108"/>
    </row>
    <row r="1379" spans="1:3">
      <c r="A1379" s="108"/>
      <c r="B1379" s="108"/>
      <c r="C1379" s="108"/>
    </row>
    <row r="1380" spans="1:3">
      <c r="A1380" s="108"/>
      <c r="B1380" s="108"/>
      <c r="C1380" s="108"/>
    </row>
    <row r="1381" spans="1:3">
      <c r="A1381" s="108"/>
      <c r="B1381" s="108"/>
      <c r="C1381" s="108"/>
    </row>
    <row r="1382" spans="1:3">
      <c r="A1382" s="108"/>
      <c r="B1382" s="108"/>
      <c r="C1382" s="108"/>
    </row>
    <row r="1383" spans="1:3">
      <c r="A1383" s="108"/>
      <c r="B1383" s="108"/>
      <c r="C1383" s="108"/>
    </row>
    <row r="1384" spans="1:3">
      <c r="A1384" s="108"/>
      <c r="B1384" s="108"/>
      <c r="C1384" s="108"/>
    </row>
    <row r="1385" spans="1:3">
      <c r="A1385" s="108"/>
      <c r="B1385" s="108"/>
      <c r="C1385" s="108"/>
    </row>
    <row r="1386" spans="1:3">
      <c r="A1386" s="108"/>
      <c r="B1386" s="108"/>
      <c r="C1386" s="108"/>
    </row>
    <row r="1387" spans="1:3">
      <c r="A1387" s="108"/>
      <c r="B1387" s="108"/>
      <c r="C1387" s="108"/>
    </row>
    <row r="1388" spans="1:3">
      <c r="A1388" s="108"/>
      <c r="B1388" s="108"/>
      <c r="C1388" s="108"/>
    </row>
    <row r="1389" spans="1:3">
      <c r="A1389" s="108"/>
      <c r="B1389" s="108"/>
      <c r="C1389" s="108"/>
    </row>
    <row r="1390" spans="1:3">
      <c r="A1390" s="108"/>
      <c r="B1390" s="108"/>
      <c r="C1390" s="108"/>
    </row>
    <row r="1391" spans="1:3">
      <c r="A1391" s="108"/>
      <c r="B1391" s="108"/>
      <c r="C1391" s="108"/>
    </row>
    <row r="1392" spans="1:3">
      <c r="A1392" s="108"/>
      <c r="B1392" s="108"/>
      <c r="C1392" s="108"/>
    </row>
    <row r="1393" spans="1:3">
      <c r="A1393" s="108"/>
      <c r="B1393" s="108"/>
      <c r="C1393" s="108"/>
    </row>
    <row r="1394" spans="1:3">
      <c r="A1394" s="108"/>
      <c r="B1394" s="108"/>
      <c r="C1394" s="108"/>
    </row>
    <row r="1395" spans="1:3">
      <c r="A1395" s="108"/>
      <c r="B1395" s="108"/>
      <c r="C1395" s="108"/>
    </row>
    <row r="1396" spans="1:3">
      <c r="A1396" s="108"/>
      <c r="B1396" s="108"/>
      <c r="C1396" s="108"/>
    </row>
    <row r="1397" spans="1:3">
      <c r="A1397" s="108"/>
      <c r="B1397" s="108"/>
      <c r="C1397" s="108"/>
    </row>
    <row r="1398" spans="1:3">
      <c r="A1398" s="108"/>
      <c r="B1398" s="108"/>
      <c r="C1398" s="108"/>
    </row>
    <row r="1399" spans="1:3">
      <c r="A1399" s="108"/>
      <c r="B1399" s="108"/>
      <c r="C1399" s="108"/>
    </row>
    <row r="1400" spans="1:3">
      <c r="A1400" s="108"/>
      <c r="B1400" s="108"/>
      <c r="C1400" s="108"/>
    </row>
    <row r="1401" spans="1:3">
      <c r="A1401" s="108"/>
      <c r="B1401" s="108"/>
      <c r="C1401" s="108"/>
    </row>
    <row r="1402" spans="1:3">
      <c r="A1402" s="108"/>
      <c r="B1402" s="108"/>
      <c r="C1402" s="108"/>
    </row>
    <row r="1403" spans="1:3">
      <c r="A1403" s="108"/>
      <c r="B1403" s="108"/>
      <c r="C1403" s="108"/>
    </row>
    <row r="1404" spans="1:3">
      <c r="A1404" s="108"/>
      <c r="B1404" s="108"/>
      <c r="C1404" s="108"/>
    </row>
    <row r="1405" spans="1:3">
      <c r="A1405" s="108"/>
      <c r="B1405" s="108"/>
      <c r="C1405" s="108"/>
    </row>
    <row r="1406" spans="1:3">
      <c r="A1406" s="108"/>
      <c r="B1406" s="108"/>
      <c r="C1406" s="108"/>
    </row>
    <row r="1407" spans="1:3">
      <c r="A1407" s="108"/>
      <c r="B1407" s="108"/>
      <c r="C1407" s="108"/>
    </row>
    <row r="1408" spans="1:3">
      <c r="A1408" s="108"/>
      <c r="B1408" s="108"/>
      <c r="C1408" s="108"/>
    </row>
    <row r="1409" spans="1:3">
      <c r="A1409" s="108"/>
      <c r="B1409" s="108"/>
      <c r="C1409" s="108"/>
    </row>
    <row r="1410" spans="1:3">
      <c r="A1410" s="108"/>
      <c r="B1410" s="108"/>
      <c r="C1410" s="108"/>
    </row>
    <row r="1411" spans="1:3">
      <c r="A1411" s="108"/>
      <c r="B1411" s="108"/>
      <c r="C1411" s="108"/>
    </row>
    <row r="1412" spans="1:3">
      <c r="A1412" s="108"/>
      <c r="B1412" s="108"/>
      <c r="C1412" s="108"/>
    </row>
    <row r="1413" spans="1:3">
      <c r="A1413" s="108"/>
      <c r="B1413" s="108"/>
      <c r="C1413" s="108"/>
    </row>
    <row r="1414" spans="1:3">
      <c r="A1414" s="108"/>
      <c r="B1414" s="108"/>
      <c r="C1414" s="108"/>
    </row>
    <row r="1415" spans="1:3">
      <c r="A1415" s="108"/>
      <c r="B1415" s="108"/>
      <c r="C1415" s="108"/>
    </row>
    <row r="1416" spans="1:3">
      <c r="A1416" s="108"/>
      <c r="B1416" s="108"/>
      <c r="C1416" s="108"/>
    </row>
    <row r="1417" spans="1:3">
      <c r="A1417" s="108"/>
      <c r="B1417" s="108"/>
      <c r="C1417" s="108"/>
    </row>
    <row r="1418" spans="1:3">
      <c r="A1418" s="108"/>
      <c r="B1418" s="108"/>
      <c r="C1418" s="108"/>
    </row>
    <row r="1419" spans="1:3">
      <c r="A1419" s="108"/>
      <c r="B1419" s="108"/>
      <c r="C1419" s="108"/>
    </row>
    <row r="1420" spans="1:3">
      <c r="A1420" s="108"/>
      <c r="B1420" s="108"/>
      <c r="C1420" s="108"/>
    </row>
    <row r="1421" spans="1:3">
      <c r="A1421" s="108"/>
      <c r="B1421" s="108"/>
      <c r="C1421" s="108"/>
    </row>
    <row r="1422" spans="1:3">
      <c r="A1422" s="108"/>
      <c r="B1422" s="108"/>
      <c r="C1422" s="108"/>
    </row>
    <row r="1423" spans="1:3">
      <c r="A1423" s="108"/>
      <c r="B1423" s="108"/>
      <c r="C1423" s="108"/>
    </row>
    <row r="1424" spans="1:3">
      <c r="A1424" s="108"/>
      <c r="B1424" s="108"/>
      <c r="C1424" s="108"/>
    </row>
    <row r="1425" spans="1:3">
      <c r="A1425" s="108"/>
      <c r="B1425" s="108"/>
      <c r="C1425" s="108"/>
    </row>
    <row r="1426" spans="1:3">
      <c r="A1426" s="108"/>
      <c r="B1426" s="108"/>
      <c r="C1426" s="108"/>
    </row>
    <row r="1427" spans="1:3">
      <c r="A1427" s="108"/>
      <c r="B1427" s="108"/>
      <c r="C1427" s="108"/>
    </row>
    <row r="1428" spans="1:3">
      <c r="A1428" s="108"/>
      <c r="B1428" s="108"/>
      <c r="C1428" s="108"/>
    </row>
    <row r="1429" spans="1:3">
      <c r="A1429" s="108"/>
      <c r="B1429" s="108"/>
      <c r="C1429" s="108"/>
    </row>
    <row r="1430" spans="1:3">
      <c r="A1430" s="108"/>
      <c r="B1430" s="108"/>
      <c r="C1430" s="108"/>
    </row>
    <row r="1431" spans="1:3">
      <c r="A1431" s="108"/>
      <c r="B1431" s="108"/>
      <c r="C1431" s="108"/>
    </row>
    <row r="1432" spans="1:3">
      <c r="A1432" s="108"/>
      <c r="B1432" s="108"/>
      <c r="C1432" s="108"/>
    </row>
    <row r="1433" spans="1:3">
      <c r="A1433" s="108"/>
      <c r="B1433" s="108"/>
      <c r="C1433" s="108"/>
    </row>
    <row r="1434" spans="1:3">
      <c r="A1434" s="108"/>
      <c r="B1434" s="108"/>
      <c r="C1434" s="108"/>
    </row>
    <row r="1435" spans="1:3">
      <c r="A1435" s="108"/>
      <c r="B1435" s="108"/>
      <c r="C1435" s="108"/>
    </row>
    <row r="1436" spans="1:3">
      <c r="A1436" s="108"/>
      <c r="B1436" s="108"/>
      <c r="C1436" s="108"/>
    </row>
    <row r="1437" spans="1:3">
      <c r="A1437" s="108"/>
      <c r="B1437" s="108"/>
      <c r="C1437" s="108"/>
    </row>
    <row r="1438" spans="1:3">
      <c r="A1438" s="108"/>
      <c r="B1438" s="108"/>
      <c r="C1438" s="108"/>
    </row>
    <row r="1439" spans="1:3">
      <c r="A1439" s="108"/>
      <c r="B1439" s="108"/>
      <c r="C1439" s="108"/>
    </row>
    <row r="1440" spans="1:3">
      <c r="A1440" s="108"/>
      <c r="B1440" s="108"/>
      <c r="C1440" s="108"/>
    </row>
    <row r="1441" spans="1:3">
      <c r="A1441" s="108"/>
      <c r="B1441" s="108"/>
      <c r="C1441" s="108"/>
    </row>
    <row r="1442" spans="1:3">
      <c r="A1442" s="108"/>
      <c r="B1442" s="108"/>
      <c r="C1442" s="108"/>
    </row>
    <row r="1443" spans="1:3">
      <c r="A1443" s="108"/>
      <c r="B1443" s="108"/>
      <c r="C1443" s="108"/>
    </row>
    <row r="1444" spans="1:3">
      <c r="A1444" s="108"/>
      <c r="B1444" s="108"/>
      <c r="C1444" s="108"/>
    </row>
    <row r="1445" spans="1:3">
      <c r="A1445" s="108"/>
      <c r="B1445" s="108"/>
      <c r="C1445" s="108"/>
    </row>
    <row r="1446" spans="1:3">
      <c r="A1446" s="108"/>
      <c r="B1446" s="108"/>
      <c r="C1446" s="108"/>
    </row>
    <row r="1447" spans="1:3">
      <c r="A1447" s="108"/>
      <c r="B1447" s="108"/>
      <c r="C1447" s="108"/>
    </row>
    <row r="1448" spans="1:3">
      <c r="A1448" s="108"/>
      <c r="B1448" s="108"/>
      <c r="C1448" s="108"/>
    </row>
    <row r="1449" spans="1:3">
      <c r="A1449" s="108"/>
      <c r="B1449" s="108"/>
      <c r="C1449" s="108"/>
    </row>
    <row r="1450" spans="1:3">
      <c r="A1450" s="108"/>
      <c r="B1450" s="108"/>
      <c r="C1450" s="108"/>
    </row>
    <row r="1451" spans="1:3">
      <c r="A1451" s="108"/>
      <c r="B1451" s="108"/>
      <c r="C1451" s="108"/>
    </row>
    <row r="1452" spans="1:3">
      <c r="A1452" s="108"/>
      <c r="B1452" s="108"/>
      <c r="C1452" s="108"/>
    </row>
    <row r="1453" spans="1:3">
      <c r="A1453" s="108"/>
      <c r="B1453" s="108"/>
      <c r="C1453" s="108"/>
    </row>
    <row r="1454" spans="1:3">
      <c r="A1454" s="108"/>
      <c r="B1454" s="108"/>
      <c r="C1454" s="108"/>
    </row>
    <row r="1455" spans="1:3">
      <c r="A1455" s="108"/>
      <c r="B1455" s="108"/>
      <c r="C1455" s="108"/>
    </row>
    <row r="1456" spans="1:3">
      <c r="A1456" s="108"/>
      <c r="B1456" s="108"/>
      <c r="C1456" s="108"/>
    </row>
    <row r="1457" spans="1:3">
      <c r="A1457" s="108"/>
      <c r="B1457" s="108"/>
      <c r="C1457" s="108"/>
    </row>
    <row r="1458" spans="1:3">
      <c r="A1458" s="108"/>
      <c r="B1458" s="108"/>
      <c r="C1458" s="108"/>
    </row>
    <row r="1459" spans="1:3">
      <c r="A1459" s="108"/>
      <c r="B1459" s="108"/>
      <c r="C1459" s="108"/>
    </row>
    <row r="1460" spans="1:3">
      <c r="A1460" s="108"/>
      <c r="B1460" s="108"/>
      <c r="C1460" s="108"/>
    </row>
    <row r="1461" spans="1:3">
      <c r="A1461" s="108"/>
      <c r="B1461" s="108"/>
      <c r="C1461" s="108"/>
    </row>
    <row r="1462" spans="1:3">
      <c r="A1462" s="108"/>
      <c r="B1462" s="108"/>
      <c r="C1462" s="108"/>
    </row>
    <row r="1463" spans="1:3">
      <c r="A1463" s="108"/>
      <c r="B1463" s="108"/>
      <c r="C1463" s="108"/>
    </row>
    <row r="1464" spans="1:3">
      <c r="A1464" s="108"/>
      <c r="B1464" s="108"/>
      <c r="C1464" s="108"/>
    </row>
    <row r="1465" spans="1:3">
      <c r="A1465" s="108"/>
      <c r="B1465" s="108"/>
      <c r="C1465" s="108"/>
    </row>
    <row r="1466" spans="1:3">
      <c r="A1466" s="108"/>
      <c r="B1466" s="108"/>
      <c r="C1466" s="108"/>
    </row>
    <row r="1467" spans="1:3">
      <c r="A1467" s="108"/>
      <c r="B1467" s="108"/>
      <c r="C1467" s="108"/>
    </row>
    <row r="1468" spans="1:3">
      <c r="A1468" s="108"/>
      <c r="B1468" s="108"/>
      <c r="C1468" s="108"/>
    </row>
    <row r="1469" spans="1:3">
      <c r="A1469" s="108"/>
      <c r="B1469" s="108"/>
      <c r="C1469" s="108"/>
    </row>
    <row r="1470" spans="1:3">
      <c r="A1470" s="108"/>
      <c r="B1470" s="108"/>
      <c r="C1470" s="108"/>
    </row>
    <row r="1471" spans="1:3">
      <c r="A1471" s="108"/>
      <c r="B1471" s="108"/>
      <c r="C1471" s="108"/>
    </row>
    <row r="1472" spans="1:3">
      <c r="A1472" s="108"/>
      <c r="B1472" s="108"/>
      <c r="C1472" s="108"/>
    </row>
    <row r="1473" spans="1:3">
      <c r="A1473" s="108"/>
      <c r="B1473" s="108"/>
      <c r="C1473" s="108"/>
    </row>
    <row r="1474" spans="1:3">
      <c r="A1474" s="108"/>
      <c r="B1474" s="108"/>
      <c r="C1474" s="108"/>
    </row>
    <row r="1475" spans="1:3">
      <c r="A1475" s="108"/>
      <c r="B1475" s="108"/>
      <c r="C1475" s="108"/>
    </row>
    <row r="1476" spans="1:3">
      <c r="A1476" s="108"/>
      <c r="B1476" s="108"/>
      <c r="C1476" s="108"/>
    </row>
    <row r="1477" spans="1:3">
      <c r="A1477" s="108"/>
      <c r="B1477" s="108"/>
      <c r="C1477" s="108"/>
    </row>
    <row r="1478" spans="1:3">
      <c r="A1478" s="108"/>
      <c r="B1478" s="108"/>
      <c r="C1478" s="108"/>
    </row>
    <row r="1479" spans="1:3">
      <c r="A1479" s="108"/>
      <c r="B1479" s="108"/>
      <c r="C1479" s="108"/>
    </row>
    <row r="1480" spans="1:3">
      <c r="A1480" s="108"/>
      <c r="B1480" s="108"/>
      <c r="C1480" s="108"/>
    </row>
    <row r="1481" spans="1:3">
      <c r="A1481" s="108"/>
      <c r="B1481" s="108"/>
      <c r="C1481" s="108"/>
    </row>
    <row r="1482" spans="1:3">
      <c r="A1482" s="108"/>
      <c r="B1482" s="108"/>
      <c r="C1482" s="108"/>
    </row>
    <row r="1483" spans="1:3">
      <c r="A1483" s="108"/>
      <c r="B1483" s="108"/>
      <c r="C1483" s="108"/>
    </row>
    <row r="1484" spans="1:3">
      <c r="A1484" s="108"/>
      <c r="B1484" s="108"/>
      <c r="C1484" s="108"/>
    </row>
    <row r="1485" spans="1:3">
      <c r="A1485" s="108"/>
      <c r="B1485" s="108"/>
      <c r="C1485" s="108"/>
    </row>
    <row r="1486" spans="1:3">
      <c r="A1486" s="108"/>
      <c r="B1486" s="108"/>
      <c r="C1486" s="108"/>
    </row>
    <row r="1487" spans="1:3">
      <c r="A1487" s="108"/>
      <c r="B1487" s="108"/>
      <c r="C1487" s="108"/>
    </row>
    <row r="1488" spans="1:3">
      <c r="A1488" s="108"/>
      <c r="B1488" s="108"/>
      <c r="C1488" s="108"/>
    </row>
    <row r="1489" spans="1:3">
      <c r="A1489" s="108"/>
      <c r="B1489" s="108"/>
      <c r="C1489" s="108"/>
    </row>
    <row r="1490" spans="1:3">
      <c r="A1490" s="108"/>
      <c r="B1490" s="108"/>
      <c r="C1490" s="108"/>
    </row>
    <row r="1491" spans="1:3">
      <c r="A1491" s="108"/>
      <c r="B1491" s="108"/>
      <c r="C1491" s="108"/>
    </row>
    <row r="1492" spans="1:3">
      <c r="A1492" s="108"/>
      <c r="B1492" s="108"/>
      <c r="C1492" s="108"/>
    </row>
    <row r="1493" spans="1:3">
      <c r="A1493" s="108"/>
      <c r="B1493" s="108"/>
      <c r="C1493" s="108"/>
    </row>
    <row r="1494" spans="1:3">
      <c r="A1494" s="108"/>
      <c r="B1494" s="108"/>
      <c r="C1494" s="108"/>
    </row>
    <row r="1495" spans="1:3">
      <c r="A1495" s="108"/>
      <c r="B1495" s="108"/>
      <c r="C1495" s="108"/>
    </row>
    <row r="1496" spans="1:3">
      <c r="A1496" s="108"/>
      <c r="B1496" s="108"/>
      <c r="C1496" s="108"/>
    </row>
    <row r="1497" spans="1:3">
      <c r="A1497" s="108"/>
      <c r="B1497" s="108"/>
      <c r="C1497" s="108"/>
    </row>
    <row r="1498" spans="1:3">
      <c r="A1498" s="108"/>
      <c r="B1498" s="108"/>
      <c r="C1498" s="108"/>
    </row>
    <row r="1499" spans="1:3">
      <c r="A1499" s="108"/>
      <c r="B1499" s="108"/>
      <c r="C1499" s="108"/>
    </row>
    <row r="1500" spans="1:3">
      <c r="A1500" s="108"/>
      <c r="B1500" s="108"/>
      <c r="C1500" s="108"/>
    </row>
    <row r="1501" spans="1:3">
      <c r="A1501" s="108"/>
      <c r="B1501" s="108"/>
      <c r="C1501" s="108"/>
    </row>
    <row r="1502" spans="1:3">
      <c r="A1502" s="108"/>
      <c r="B1502" s="108"/>
      <c r="C1502" s="108"/>
    </row>
    <row r="1503" spans="1:3">
      <c r="A1503" s="108"/>
      <c r="B1503" s="108"/>
      <c r="C1503" s="108"/>
    </row>
    <row r="1504" spans="1:3">
      <c r="A1504" s="108"/>
      <c r="B1504" s="108"/>
      <c r="C1504" s="108"/>
    </row>
    <row r="1505" spans="1:3">
      <c r="A1505" s="108"/>
      <c r="B1505" s="108"/>
      <c r="C1505" s="108"/>
    </row>
    <row r="1506" spans="1:3">
      <c r="A1506" s="108"/>
      <c r="B1506" s="108"/>
      <c r="C1506" s="108"/>
    </row>
    <row r="1507" spans="1:3">
      <c r="A1507" s="108"/>
      <c r="B1507" s="108"/>
      <c r="C1507" s="108"/>
    </row>
    <row r="1508" spans="1:3">
      <c r="A1508" s="108"/>
      <c r="B1508" s="108"/>
      <c r="C1508" s="108"/>
    </row>
    <row r="1509" spans="1:3">
      <c r="A1509" s="108"/>
      <c r="B1509" s="108"/>
      <c r="C1509" s="108"/>
    </row>
    <row r="1510" spans="1:3">
      <c r="A1510" s="108"/>
      <c r="B1510" s="108"/>
      <c r="C1510" s="108"/>
    </row>
    <row r="1511" spans="1:3">
      <c r="A1511" s="108"/>
      <c r="B1511" s="108"/>
      <c r="C1511" s="108"/>
    </row>
    <row r="1512" spans="1:3">
      <c r="A1512" s="108"/>
      <c r="B1512" s="108"/>
      <c r="C1512" s="108"/>
    </row>
    <row r="1513" spans="1:3">
      <c r="A1513" s="108"/>
      <c r="B1513" s="108"/>
      <c r="C1513" s="108"/>
    </row>
    <row r="1514" spans="1:3">
      <c r="A1514" s="108"/>
      <c r="B1514" s="108"/>
      <c r="C1514" s="108"/>
    </row>
    <row r="1515" spans="1:3">
      <c r="A1515" s="108"/>
      <c r="B1515" s="108"/>
      <c r="C1515" s="108"/>
    </row>
    <row r="1516" spans="1:3">
      <c r="A1516" s="108"/>
      <c r="B1516" s="108"/>
      <c r="C1516" s="108"/>
    </row>
    <row r="1517" spans="1:3">
      <c r="A1517" s="108"/>
      <c r="B1517" s="108"/>
      <c r="C1517" s="108"/>
    </row>
    <row r="1518" spans="1:3">
      <c r="A1518" s="108"/>
      <c r="B1518" s="108"/>
      <c r="C1518" s="108"/>
    </row>
    <row r="1519" spans="1:3">
      <c r="A1519" s="108"/>
      <c r="B1519" s="108"/>
      <c r="C1519" s="108"/>
    </row>
    <row r="1520" spans="1:3">
      <c r="A1520" s="108"/>
      <c r="B1520" s="108"/>
      <c r="C1520" s="108"/>
    </row>
    <row r="1521" spans="1:3">
      <c r="A1521" s="108"/>
      <c r="B1521" s="108"/>
      <c r="C1521" s="108"/>
    </row>
    <row r="1522" spans="1:3">
      <c r="A1522" s="108"/>
      <c r="B1522" s="108"/>
      <c r="C1522" s="108"/>
    </row>
    <row r="1523" spans="1:3">
      <c r="A1523" s="108"/>
      <c r="B1523" s="108"/>
      <c r="C1523" s="108"/>
    </row>
    <row r="1524" spans="1:3">
      <c r="A1524" s="108"/>
      <c r="B1524" s="108"/>
      <c r="C1524" s="108"/>
    </row>
    <row r="1525" spans="1:3">
      <c r="A1525" s="108"/>
      <c r="B1525" s="108"/>
      <c r="C1525" s="108"/>
    </row>
    <row r="1526" spans="1:3">
      <c r="A1526" s="108"/>
      <c r="B1526" s="108"/>
      <c r="C1526" s="108"/>
    </row>
    <row r="1527" spans="1:3">
      <c r="A1527" s="108"/>
      <c r="B1527" s="108"/>
      <c r="C1527" s="108"/>
    </row>
    <row r="1528" spans="1:3">
      <c r="A1528" s="108"/>
      <c r="B1528" s="108"/>
      <c r="C1528" s="108"/>
    </row>
    <row r="1529" spans="1:3">
      <c r="A1529" s="108"/>
      <c r="B1529" s="108"/>
      <c r="C1529" s="108"/>
    </row>
    <row r="1530" spans="1:3">
      <c r="A1530" s="108"/>
      <c r="B1530" s="108"/>
      <c r="C1530" s="108"/>
    </row>
    <row r="1531" spans="1:3">
      <c r="A1531" s="108"/>
      <c r="B1531" s="108"/>
      <c r="C1531" s="108"/>
    </row>
    <row r="1532" spans="1:3">
      <c r="A1532" s="108"/>
      <c r="B1532" s="108"/>
      <c r="C1532" s="108"/>
    </row>
    <row r="1533" spans="1:3">
      <c r="A1533" s="108"/>
      <c r="B1533" s="108"/>
      <c r="C1533" s="108"/>
    </row>
    <row r="1534" spans="1:3">
      <c r="A1534" s="108"/>
      <c r="B1534" s="108"/>
      <c r="C1534" s="108"/>
    </row>
    <row r="1535" spans="1:3">
      <c r="A1535" s="108"/>
      <c r="B1535" s="108"/>
      <c r="C1535" s="108"/>
    </row>
    <row r="1536" spans="1:3">
      <c r="A1536" s="108"/>
      <c r="B1536" s="108"/>
      <c r="C1536" s="108"/>
    </row>
    <row r="1537" spans="1:3">
      <c r="A1537" s="108"/>
      <c r="B1537" s="108"/>
      <c r="C1537" s="108"/>
    </row>
    <row r="1538" spans="1:3">
      <c r="A1538" s="108"/>
      <c r="B1538" s="108"/>
      <c r="C1538" s="108"/>
    </row>
    <row r="1539" spans="1:3">
      <c r="A1539" s="108"/>
      <c r="B1539" s="108"/>
      <c r="C1539" s="108"/>
    </row>
    <row r="1540" spans="1:3">
      <c r="A1540" s="108"/>
      <c r="B1540" s="108"/>
      <c r="C1540" s="108"/>
    </row>
    <row r="1541" spans="1:3">
      <c r="A1541" s="108"/>
      <c r="B1541" s="108"/>
      <c r="C1541" s="108"/>
    </row>
    <row r="1542" spans="1:3">
      <c r="A1542" s="108"/>
      <c r="B1542" s="108"/>
      <c r="C1542" s="108"/>
    </row>
    <row r="1543" spans="1:3">
      <c r="A1543" s="108"/>
      <c r="B1543" s="108"/>
      <c r="C1543" s="108"/>
    </row>
    <row r="1544" spans="1:3">
      <c r="A1544" s="108"/>
      <c r="B1544" s="108"/>
      <c r="C1544" s="108"/>
    </row>
    <row r="1545" spans="1:3">
      <c r="A1545" s="108"/>
      <c r="B1545" s="108"/>
      <c r="C1545" s="108"/>
    </row>
    <row r="1546" spans="1:3">
      <c r="A1546" s="108"/>
      <c r="B1546" s="108"/>
      <c r="C1546" s="108"/>
    </row>
    <row r="1547" spans="1:3">
      <c r="A1547" s="108"/>
      <c r="B1547" s="108"/>
      <c r="C1547" s="108"/>
    </row>
    <row r="1548" spans="1:3">
      <c r="A1548" s="108"/>
      <c r="B1548" s="108"/>
      <c r="C1548" s="108"/>
    </row>
    <row r="1549" spans="1:3">
      <c r="A1549" s="108"/>
      <c r="B1549" s="108"/>
      <c r="C1549" s="108"/>
    </row>
    <row r="1550" spans="1:3">
      <c r="A1550" s="108"/>
      <c r="B1550" s="108"/>
      <c r="C1550" s="108"/>
    </row>
    <row r="1551" spans="1:3">
      <c r="A1551" s="108"/>
      <c r="B1551" s="108"/>
      <c r="C1551" s="108"/>
    </row>
    <row r="1552" spans="1:3">
      <c r="A1552" s="108"/>
      <c r="B1552" s="108"/>
      <c r="C1552" s="108"/>
    </row>
    <row r="1553" spans="1:3">
      <c r="A1553" s="108"/>
      <c r="B1553" s="108"/>
      <c r="C1553" s="108"/>
    </row>
    <row r="1554" spans="1:3">
      <c r="A1554" s="108"/>
      <c r="B1554" s="108"/>
      <c r="C1554" s="108"/>
    </row>
    <row r="1555" spans="1:3">
      <c r="A1555" s="108"/>
      <c r="B1555" s="108"/>
      <c r="C1555" s="108"/>
    </row>
    <row r="1556" spans="1:3">
      <c r="A1556" s="108"/>
      <c r="B1556" s="108"/>
      <c r="C1556" s="108"/>
    </row>
    <row r="1557" spans="1:3">
      <c r="A1557" s="108"/>
      <c r="B1557" s="108"/>
      <c r="C1557" s="108"/>
    </row>
    <row r="1558" spans="1:3">
      <c r="A1558" s="108"/>
      <c r="B1558" s="108"/>
      <c r="C1558" s="108"/>
    </row>
    <row r="1559" spans="1:3">
      <c r="A1559" s="108"/>
      <c r="B1559" s="108"/>
      <c r="C1559" s="108"/>
    </row>
    <row r="1560" spans="1:3">
      <c r="A1560" s="108"/>
      <c r="B1560" s="108"/>
      <c r="C1560" s="108"/>
    </row>
    <row r="1561" spans="1:3">
      <c r="A1561" s="108"/>
      <c r="B1561" s="108"/>
      <c r="C1561" s="108"/>
    </row>
    <row r="1562" spans="1:3">
      <c r="A1562" s="108"/>
      <c r="B1562" s="108"/>
      <c r="C1562" s="108"/>
    </row>
    <row r="1563" spans="1:3">
      <c r="A1563" s="108"/>
      <c r="B1563" s="108"/>
      <c r="C1563" s="108"/>
    </row>
    <row r="1564" spans="1:3">
      <c r="A1564" s="108"/>
      <c r="B1564" s="108"/>
      <c r="C1564" s="108"/>
    </row>
    <row r="1565" spans="1:3">
      <c r="A1565" s="108"/>
      <c r="B1565" s="108"/>
      <c r="C1565" s="108"/>
    </row>
    <row r="1566" spans="1:3">
      <c r="A1566" s="108"/>
      <c r="B1566" s="108"/>
      <c r="C1566" s="108"/>
    </row>
    <row r="1567" spans="1:3">
      <c r="A1567" s="108"/>
      <c r="B1567" s="108"/>
      <c r="C1567" s="108"/>
    </row>
    <row r="1568" spans="1:3">
      <c r="A1568" s="108"/>
      <c r="B1568" s="108"/>
      <c r="C1568" s="108"/>
    </row>
    <row r="1569" spans="1:3">
      <c r="A1569" s="108"/>
      <c r="B1569" s="108"/>
      <c r="C1569" s="108"/>
    </row>
    <row r="1570" spans="1:3">
      <c r="A1570" s="108"/>
      <c r="B1570" s="108"/>
      <c r="C1570" s="108"/>
    </row>
    <row r="1571" spans="1:3">
      <c r="A1571" s="108"/>
      <c r="B1571" s="108"/>
      <c r="C1571" s="108"/>
    </row>
    <row r="1572" spans="1:3">
      <c r="A1572" s="108"/>
      <c r="B1572" s="108"/>
      <c r="C1572" s="108"/>
    </row>
    <row r="1573" spans="1:3">
      <c r="A1573" s="108"/>
      <c r="B1573" s="108"/>
      <c r="C1573" s="108"/>
    </row>
    <row r="1574" spans="1:3">
      <c r="A1574" s="108"/>
      <c r="B1574" s="108"/>
      <c r="C1574" s="108"/>
    </row>
    <row r="1575" spans="1:3">
      <c r="A1575" s="108"/>
      <c r="B1575" s="108"/>
      <c r="C1575" s="108"/>
    </row>
    <row r="1576" spans="1:3">
      <c r="A1576" s="108"/>
      <c r="B1576" s="108"/>
      <c r="C1576" s="108"/>
    </row>
    <row r="1577" spans="1:3">
      <c r="A1577" s="108"/>
      <c r="B1577" s="108"/>
      <c r="C1577" s="108"/>
    </row>
    <row r="1578" spans="1:3">
      <c r="A1578" s="108"/>
      <c r="B1578" s="108"/>
      <c r="C1578" s="108"/>
    </row>
    <row r="1579" spans="1:3">
      <c r="A1579" s="108"/>
      <c r="B1579" s="108"/>
      <c r="C1579" s="108"/>
    </row>
    <row r="1580" spans="1:3">
      <c r="A1580" s="108"/>
      <c r="B1580" s="108"/>
      <c r="C1580" s="108"/>
    </row>
    <row r="1581" spans="1:3">
      <c r="A1581" s="108"/>
      <c r="B1581" s="108"/>
      <c r="C1581" s="108"/>
    </row>
    <row r="1582" spans="1:3">
      <c r="A1582" s="108"/>
      <c r="B1582" s="108"/>
      <c r="C1582" s="108"/>
    </row>
    <row r="1583" spans="1:3">
      <c r="A1583" s="108"/>
      <c r="B1583" s="108"/>
      <c r="C1583" s="108"/>
    </row>
    <row r="1584" spans="1:3">
      <c r="A1584" s="108"/>
      <c r="B1584" s="108"/>
      <c r="C1584" s="108"/>
    </row>
    <row r="1585" spans="1:3">
      <c r="A1585" s="108"/>
      <c r="B1585" s="108"/>
      <c r="C1585" s="108"/>
    </row>
    <row r="1586" spans="1:3">
      <c r="A1586" s="108"/>
      <c r="B1586" s="108"/>
      <c r="C1586" s="108"/>
    </row>
    <row r="1587" spans="1:3">
      <c r="A1587" s="108"/>
      <c r="B1587" s="108"/>
      <c r="C1587" s="108"/>
    </row>
    <row r="1588" spans="1:3">
      <c r="A1588" s="108"/>
      <c r="B1588" s="108"/>
      <c r="C1588" s="108"/>
    </row>
    <row r="1589" spans="1:3">
      <c r="A1589" s="108"/>
      <c r="B1589" s="108"/>
      <c r="C1589" s="108"/>
    </row>
    <row r="1590" spans="1:3">
      <c r="A1590" s="108"/>
      <c r="B1590" s="108"/>
      <c r="C1590" s="108"/>
    </row>
    <row r="1591" spans="1:3">
      <c r="A1591" s="108"/>
      <c r="B1591" s="108"/>
      <c r="C1591" s="108"/>
    </row>
    <row r="1592" spans="1:3">
      <c r="A1592" s="108"/>
      <c r="B1592" s="108"/>
      <c r="C1592" s="108"/>
    </row>
    <row r="1593" spans="1:3">
      <c r="A1593" s="108"/>
      <c r="B1593" s="108"/>
      <c r="C1593" s="108"/>
    </row>
    <row r="1594" spans="1:3">
      <c r="A1594" s="108"/>
      <c r="B1594" s="108"/>
      <c r="C1594" s="108"/>
    </row>
    <row r="1595" spans="1:3">
      <c r="A1595" s="108"/>
      <c r="B1595" s="108"/>
      <c r="C1595" s="108"/>
    </row>
    <row r="1596" spans="1:3">
      <c r="A1596" s="108"/>
      <c r="B1596" s="108"/>
      <c r="C1596" s="108"/>
    </row>
    <row r="1597" spans="1:3">
      <c r="A1597" s="108"/>
      <c r="B1597" s="108"/>
      <c r="C1597" s="108"/>
    </row>
    <row r="1598" spans="1:3">
      <c r="A1598" s="108"/>
      <c r="B1598" s="108"/>
      <c r="C1598" s="108"/>
    </row>
    <row r="1599" spans="1:3">
      <c r="A1599" s="108"/>
      <c r="B1599" s="108"/>
      <c r="C1599" s="108"/>
    </row>
    <row r="1600" spans="1:3">
      <c r="A1600" s="108"/>
      <c r="B1600" s="108"/>
      <c r="C1600" s="108"/>
    </row>
    <row r="1601" spans="1:3">
      <c r="A1601" s="108"/>
      <c r="B1601" s="108"/>
      <c r="C1601" s="108"/>
    </row>
    <row r="1602" spans="1:3">
      <c r="A1602" s="108"/>
      <c r="B1602" s="108"/>
      <c r="C1602" s="108"/>
    </row>
    <row r="1603" spans="1:3">
      <c r="A1603" s="108"/>
      <c r="B1603" s="108"/>
      <c r="C1603" s="108"/>
    </row>
    <row r="1604" spans="1:3">
      <c r="A1604" s="108"/>
      <c r="B1604" s="108"/>
      <c r="C1604" s="108"/>
    </row>
    <row r="1605" spans="1:3">
      <c r="A1605" s="108"/>
      <c r="B1605" s="108"/>
      <c r="C1605" s="108"/>
    </row>
    <row r="1606" spans="1:3">
      <c r="A1606" s="108"/>
      <c r="B1606" s="108"/>
      <c r="C1606" s="108"/>
    </row>
    <row r="1607" spans="1:3">
      <c r="A1607" s="108"/>
      <c r="B1607" s="108"/>
      <c r="C1607" s="108"/>
    </row>
    <row r="1608" spans="1:3">
      <c r="A1608" s="108"/>
      <c r="B1608" s="108"/>
      <c r="C1608" s="108"/>
    </row>
    <row r="1609" spans="1:3">
      <c r="A1609" s="108"/>
      <c r="B1609" s="108"/>
      <c r="C1609" s="108"/>
    </row>
    <row r="1610" spans="1:3">
      <c r="A1610" s="108"/>
      <c r="B1610" s="108"/>
      <c r="C1610" s="108"/>
    </row>
    <row r="1611" spans="1:3">
      <c r="A1611" s="108"/>
      <c r="B1611" s="108"/>
      <c r="C1611" s="108"/>
    </row>
    <row r="1612" spans="1:3">
      <c r="A1612" s="108"/>
      <c r="B1612" s="108"/>
      <c r="C1612" s="108"/>
    </row>
    <row r="1613" spans="1:3">
      <c r="A1613" s="108"/>
      <c r="B1613" s="108"/>
      <c r="C1613" s="108"/>
    </row>
    <row r="1614" spans="1:3">
      <c r="A1614" s="108"/>
      <c r="B1614" s="108"/>
      <c r="C1614" s="108"/>
    </row>
    <row r="1615" spans="1:3">
      <c r="A1615" s="108"/>
      <c r="B1615" s="108"/>
      <c r="C1615" s="108"/>
    </row>
    <row r="1616" spans="1:3">
      <c r="A1616" s="108"/>
      <c r="B1616" s="108"/>
      <c r="C1616" s="108"/>
    </row>
    <row r="1617" spans="1:3">
      <c r="A1617" s="108"/>
      <c r="B1617" s="108"/>
      <c r="C1617" s="108"/>
    </row>
    <row r="1618" spans="1:3">
      <c r="A1618" s="108"/>
      <c r="B1618" s="108"/>
      <c r="C1618" s="108"/>
    </row>
    <row r="1619" spans="1:3">
      <c r="A1619" s="108"/>
      <c r="B1619" s="108"/>
      <c r="C1619" s="108"/>
    </row>
    <row r="1620" spans="1:3">
      <c r="A1620" s="108"/>
      <c r="B1620" s="108"/>
      <c r="C1620" s="108"/>
    </row>
    <row r="1621" spans="1:3">
      <c r="A1621" s="108"/>
      <c r="B1621" s="108"/>
      <c r="C1621" s="108"/>
    </row>
    <row r="1622" spans="1:3">
      <c r="A1622" s="108"/>
      <c r="B1622" s="108"/>
      <c r="C1622" s="108"/>
    </row>
    <row r="1623" spans="1:3">
      <c r="A1623" s="108"/>
      <c r="B1623" s="108"/>
      <c r="C1623" s="108"/>
    </row>
    <row r="1624" spans="1:3">
      <c r="A1624" s="108"/>
      <c r="B1624" s="108"/>
      <c r="C1624" s="108"/>
    </row>
    <row r="1625" spans="1:3">
      <c r="A1625" s="108"/>
      <c r="B1625" s="108"/>
      <c r="C1625" s="108"/>
    </row>
    <row r="1626" spans="1:3">
      <c r="A1626" s="108"/>
      <c r="B1626" s="108"/>
      <c r="C1626" s="108"/>
    </row>
    <row r="1627" spans="1:3">
      <c r="A1627" s="108"/>
      <c r="B1627" s="108"/>
      <c r="C1627" s="108"/>
    </row>
    <row r="1628" spans="1:3">
      <c r="A1628" s="108"/>
      <c r="B1628" s="108"/>
      <c r="C1628" s="108"/>
    </row>
    <row r="1629" spans="1:3">
      <c r="A1629" s="108"/>
      <c r="B1629" s="108"/>
      <c r="C1629" s="108"/>
    </row>
    <row r="1630" spans="1:3">
      <c r="A1630" s="108"/>
      <c r="B1630" s="108"/>
      <c r="C1630" s="108"/>
    </row>
    <row r="1631" spans="1:3">
      <c r="A1631" s="108"/>
      <c r="B1631" s="108"/>
      <c r="C1631" s="108"/>
    </row>
    <row r="1632" spans="1:3">
      <c r="A1632" s="108"/>
      <c r="B1632" s="108"/>
      <c r="C1632" s="108"/>
    </row>
    <row r="1633" spans="1:3">
      <c r="A1633" s="108"/>
      <c r="B1633" s="108"/>
      <c r="C1633" s="108"/>
    </row>
    <row r="1634" spans="1:3">
      <c r="A1634" s="108"/>
      <c r="B1634" s="108"/>
      <c r="C1634" s="108"/>
    </row>
    <row r="1635" spans="1:3">
      <c r="A1635" s="108"/>
      <c r="B1635" s="108"/>
      <c r="C1635" s="108"/>
    </row>
    <row r="1636" spans="1:3">
      <c r="A1636" s="108"/>
      <c r="B1636" s="108"/>
      <c r="C1636" s="108"/>
    </row>
    <row r="1637" spans="1:3">
      <c r="A1637" s="108"/>
      <c r="B1637" s="108"/>
      <c r="C1637" s="108"/>
    </row>
    <row r="1638" spans="1:3">
      <c r="A1638" s="108"/>
      <c r="B1638" s="108"/>
      <c r="C1638" s="108"/>
    </row>
    <row r="1639" spans="1:3">
      <c r="A1639" s="108"/>
      <c r="B1639" s="108"/>
      <c r="C1639" s="108"/>
    </row>
    <row r="1640" spans="1:3">
      <c r="A1640" s="108"/>
      <c r="B1640" s="108"/>
      <c r="C1640" s="108"/>
    </row>
    <row r="1641" spans="1:3">
      <c r="A1641" s="108"/>
      <c r="B1641" s="108"/>
      <c r="C1641" s="108"/>
    </row>
    <row r="1642" spans="1:3">
      <c r="A1642" s="108"/>
      <c r="B1642" s="108"/>
      <c r="C1642" s="108"/>
    </row>
    <row r="1643" spans="1:3">
      <c r="A1643" s="108"/>
      <c r="B1643" s="108"/>
      <c r="C1643" s="108"/>
    </row>
    <row r="1644" spans="1:3">
      <c r="A1644" s="108"/>
      <c r="B1644" s="108"/>
      <c r="C1644" s="108"/>
    </row>
    <row r="1645" spans="1:3">
      <c r="A1645" s="108"/>
      <c r="B1645" s="108"/>
      <c r="C1645" s="108"/>
    </row>
    <row r="1646" spans="1:3">
      <c r="A1646" s="108"/>
      <c r="B1646" s="108"/>
      <c r="C1646" s="108"/>
    </row>
    <row r="1647" spans="1:3">
      <c r="A1647" s="108"/>
      <c r="B1647" s="108"/>
      <c r="C1647" s="108"/>
    </row>
    <row r="1648" spans="1:3">
      <c r="A1648" s="108"/>
      <c r="B1648" s="108"/>
      <c r="C1648" s="108"/>
    </row>
    <row r="1649" spans="1:3">
      <c r="A1649" s="108"/>
      <c r="B1649" s="108"/>
      <c r="C1649" s="108"/>
    </row>
    <row r="1650" spans="1:3">
      <c r="A1650" s="108"/>
      <c r="B1650" s="108"/>
      <c r="C1650" s="108"/>
    </row>
    <row r="1651" spans="1:3">
      <c r="A1651" s="108"/>
      <c r="B1651" s="108"/>
      <c r="C1651" s="108"/>
    </row>
    <row r="1652" spans="1:3">
      <c r="A1652" s="108"/>
      <c r="B1652" s="108"/>
      <c r="C1652" s="108"/>
    </row>
    <row r="1653" spans="1:3">
      <c r="A1653" s="108"/>
      <c r="B1653" s="108"/>
      <c r="C1653" s="108"/>
    </row>
    <row r="1654" spans="1:3">
      <c r="A1654" s="108"/>
      <c r="B1654" s="108"/>
      <c r="C1654" s="108"/>
    </row>
    <row r="1655" spans="1:3">
      <c r="A1655" s="108"/>
      <c r="B1655" s="108"/>
      <c r="C1655" s="108"/>
    </row>
    <row r="1656" spans="1:3">
      <c r="A1656" s="108"/>
      <c r="B1656" s="108"/>
      <c r="C1656" s="108"/>
    </row>
    <row r="1657" spans="1:3">
      <c r="A1657" s="108"/>
      <c r="B1657" s="108"/>
      <c r="C1657" s="108"/>
    </row>
    <row r="1658" spans="1:3">
      <c r="A1658" s="108"/>
      <c r="B1658" s="108"/>
      <c r="C1658" s="108"/>
    </row>
    <row r="1659" spans="1:3">
      <c r="A1659" s="108"/>
      <c r="B1659" s="108"/>
      <c r="C1659" s="108"/>
    </row>
    <row r="1660" spans="1:3">
      <c r="A1660" s="108"/>
      <c r="B1660" s="108"/>
      <c r="C1660" s="108"/>
    </row>
    <row r="1661" spans="1:3">
      <c r="A1661" s="108"/>
      <c r="B1661" s="108"/>
      <c r="C1661" s="108"/>
    </row>
    <row r="1662" spans="1:3">
      <c r="A1662" s="108"/>
      <c r="B1662" s="108"/>
      <c r="C1662" s="108"/>
    </row>
    <row r="1663" spans="1:3">
      <c r="A1663" s="108"/>
      <c r="B1663" s="108"/>
      <c r="C1663" s="108"/>
    </row>
    <row r="1664" spans="1:3">
      <c r="A1664" s="108"/>
      <c r="B1664" s="108"/>
      <c r="C1664" s="108"/>
    </row>
    <row r="1665" spans="1:3">
      <c r="A1665" s="108"/>
      <c r="B1665" s="108"/>
      <c r="C1665" s="108"/>
    </row>
    <row r="1666" spans="1:3">
      <c r="A1666" s="108"/>
      <c r="B1666" s="108"/>
      <c r="C1666" s="108"/>
    </row>
    <row r="1667" spans="1:3">
      <c r="A1667" s="108"/>
      <c r="B1667" s="108"/>
      <c r="C1667" s="108"/>
    </row>
    <row r="1668" spans="1:3">
      <c r="A1668" s="108"/>
      <c r="B1668" s="108"/>
      <c r="C1668" s="108"/>
    </row>
    <row r="1669" spans="1:3">
      <c r="A1669" s="108"/>
      <c r="B1669" s="108"/>
      <c r="C1669" s="108"/>
    </row>
    <row r="1670" spans="1:3">
      <c r="A1670" s="108"/>
      <c r="B1670" s="108"/>
      <c r="C1670" s="108"/>
    </row>
    <row r="1671" spans="1:3">
      <c r="A1671" s="108"/>
      <c r="B1671" s="108"/>
      <c r="C1671" s="108"/>
    </row>
    <row r="1672" spans="1:3">
      <c r="A1672" s="108"/>
      <c r="B1672" s="108"/>
      <c r="C1672" s="108"/>
    </row>
    <row r="1673" spans="1:3">
      <c r="A1673" s="108"/>
      <c r="B1673" s="108"/>
      <c r="C1673" s="108"/>
    </row>
    <row r="1674" spans="1:3">
      <c r="A1674" s="108"/>
      <c r="B1674" s="108"/>
      <c r="C1674" s="108"/>
    </row>
    <row r="1675" spans="1:3">
      <c r="A1675" s="108"/>
      <c r="B1675" s="108"/>
      <c r="C1675" s="108"/>
    </row>
    <row r="1676" spans="1:3">
      <c r="A1676" s="108"/>
      <c r="B1676" s="108"/>
      <c r="C1676" s="108"/>
    </row>
    <row r="1677" spans="1:3">
      <c r="A1677" s="108"/>
      <c r="B1677" s="108"/>
      <c r="C1677" s="108"/>
    </row>
    <row r="1678" spans="1:3">
      <c r="A1678" s="108"/>
      <c r="B1678" s="108"/>
      <c r="C1678" s="108"/>
    </row>
    <row r="1679" spans="1:3">
      <c r="A1679" s="108"/>
      <c r="B1679" s="108"/>
      <c r="C1679" s="108"/>
    </row>
    <row r="1680" spans="1:3">
      <c r="A1680" s="108"/>
      <c r="B1680" s="108"/>
      <c r="C1680" s="108"/>
    </row>
    <row r="1681" spans="1:3">
      <c r="A1681" s="108"/>
      <c r="B1681" s="108"/>
      <c r="C1681" s="108"/>
    </row>
    <row r="1682" spans="1:3">
      <c r="A1682" s="108"/>
      <c r="B1682" s="108"/>
      <c r="C1682" s="108"/>
    </row>
    <row r="1683" spans="1:3">
      <c r="A1683" s="108"/>
      <c r="B1683" s="108"/>
      <c r="C1683" s="108"/>
    </row>
    <row r="1684" spans="1:3">
      <c r="A1684" s="108"/>
      <c r="B1684" s="108"/>
      <c r="C1684" s="108"/>
    </row>
    <row r="1685" spans="1:3">
      <c r="A1685" s="108"/>
      <c r="B1685" s="108"/>
      <c r="C1685" s="108"/>
    </row>
    <row r="1686" spans="1:3">
      <c r="A1686" s="108"/>
      <c r="B1686" s="108"/>
      <c r="C1686" s="108"/>
    </row>
    <row r="1687" spans="1:3">
      <c r="A1687" s="108"/>
      <c r="B1687" s="108"/>
      <c r="C1687" s="108"/>
    </row>
    <row r="1688" spans="1:3">
      <c r="A1688" s="108"/>
      <c r="B1688" s="108"/>
      <c r="C1688" s="108"/>
    </row>
    <row r="1689" spans="1:3">
      <c r="A1689" s="108"/>
      <c r="B1689" s="108"/>
      <c r="C1689" s="108"/>
    </row>
    <row r="1690" spans="1:3">
      <c r="A1690" s="108"/>
      <c r="B1690" s="108"/>
      <c r="C1690" s="108"/>
    </row>
    <row r="1691" spans="1:3">
      <c r="A1691" s="108"/>
      <c r="B1691" s="108"/>
      <c r="C1691" s="108"/>
    </row>
    <row r="1692" spans="1:3">
      <c r="A1692" s="108"/>
      <c r="B1692" s="108"/>
      <c r="C1692" s="108"/>
    </row>
    <row r="1693" spans="1:3">
      <c r="A1693" s="108"/>
      <c r="B1693" s="108"/>
      <c r="C1693" s="108"/>
    </row>
    <row r="1694" spans="1:3">
      <c r="A1694" s="108"/>
      <c r="B1694" s="108"/>
      <c r="C1694" s="108"/>
    </row>
    <row r="1695" spans="1:3">
      <c r="A1695" s="108"/>
      <c r="B1695" s="108"/>
      <c r="C1695" s="108"/>
    </row>
    <row r="1696" spans="1:3">
      <c r="A1696" s="108"/>
      <c r="B1696" s="108"/>
      <c r="C1696" s="108"/>
    </row>
    <row r="1697" spans="1:3">
      <c r="A1697" s="108"/>
      <c r="B1697" s="108"/>
      <c r="C1697" s="108"/>
    </row>
    <row r="1698" spans="1:3">
      <c r="A1698" s="108"/>
      <c r="B1698" s="108"/>
      <c r="C1698" s="108"/>
    </row>
    <row r="1699" spans="1:3">
      <c r="A1699" s="108"/>
      <c r="B1699" s="108"/>
      <c r="C1699" s="108"/>
    </row>
    <row r="1700" spans="1:3">
      <c r="A1700" s="108"/>
      <c r="B1700" s="108"/>
      <c r="C1700" s="108"/>
    </row>
    <row r="1701" spans="1:3">
      <c r="A1701" s="108"/>
      <c r="B1701" s="108"/>
      <c r="C1701" s="108"/>
    </row>
    <row r="1702" spans="1:3">
      <c r="A1702" s="108"/>
      <c r="B1702" s="108"/>
      <c r="C1702" s="108"/>
    </row>
    <row r="1703" spans="1:3">
      <c r="A1703" s="108"/>
      <c r="B1703" s="108"/>
      <c r="C1703" s="108"/>
    </row>
    <row r="1704" spans="1:3">
      <c r="A1704" s="108"/>
      <c r="B1704" s="108"/>
      <c r="C1704" s="108"/>
    </row>
    <row r="1705" spans="1:3">
      <c r="A1705" s="108"/>
      <c r="B1705" s="108"/>
      <c r="C1705" s="108"/>
    </row>
    <row r="1706" spans="1:3">
      <c r="A1706" s="108"/>
      <c r="B1706" s="108"/>
      <c r="C1706" s="108"/>
    </row>
    <row r="1707" spans="1:3">
      <c r="A1707" s="108"/>
      <c r="B1707" s="108"/>
      <c r="C1707" s="108"/>
    </row>
    <row r="1708" spans="1:3">
      <c r="A1708" s="108"/>
      <c r="B1708" s="108"/>
      <c r="C1708" s="108"/>
    </row>
    <row r="1709" spans="1:3">
      <c r="A1709" s="108"/>
      <c r="B1709" s="108"/>
      <c r="C1709" s="108"/>
    </row>
    <row r="1710" spans="1:3">
      <c r="A1710" s="108"/>
      <c r="B1710" s="108"/>
      <c r="C1710" s="108"/>
    </row>
    <row r="1711" spans="1:3">
      <c r="A1711" s="108"/>
      <c r="B1711" s="108"/>
      <c r="C1711" s="108"/>
    </row>
    <row r="1712" spans="1:3">
      <c r="A1712" s="108"/>
      <c r="B1712" s="108"/>
      <c r="C1712" s="108"/>
    </row>
    <row r="1713" spans="1:3">
      <c r="A1713" s="108"/>
      <c r="B1713" s="108"/>
      <c r="C1713" s="108"/>
    </row>
    <row r="1714" spans="1:3">
      <c r="A1714" s="108"/>
      <c r="B1714" s="108"/>
      <c r="C1714" s="108"/>
    </row>
    <row r="1715" spans="1:3">
      <c r="A1715" s="108"/>
      <c r="B1715" s="108"/>
      <c r="C1715" s="108"/>
    </row>
    <row r="1716" spans="1:3">
      <c r="A1716" s="108"/>
      <c r="B1716" s="108"/>
      <c r="C1716" s="108"/>
    </row>
    <row r="1717" spans="1:3">
      <c r="A1717" s="108"/>
      <c r="B1717" s="108"/>
      <c r="C1717" s="108"/>
    </row>
    <row r="1718" spans="1:3">
      <c r="A1718" s="108"/>
      <c r="B1718" s="108"/>
      <c r="C1718" s="108"/>
    </row>
    <row r="1719" spans="1:3">
      <c r="A1719" s="108"/>
      <c r="B1719" s="108"/>
      <c r="C1719" s="108"/>
    </row>
    <row r="1720" spans="1:3">
      <c r="A1720" s="108"/>
      <c r="B1720" s="108"/>
      <c r="C1720" s="108"/>
    </row>
    <row r="1721" spans="1:3">
      <c r="A1721" s="108"/>
      <c r="B1721" s="108"/>
      <c r="C1721" s="108"/>
    </row>
    <row r="1722" spans="1:3">
      <c r="A1722" s="108"/>
      <c r="B1722" s="108"/>
      <c r="C1722" s="108"/>
    </row>
    <row r="1723" spans="1:3">
      <c r="A1723" s="108"/>
      <c r="B1723" s="108"/>
      <c r="C1723" s="108"/>
    </row>
    <row r="1724" spans="1:3">
      <c r="A1724" s="108"/>
      <c r="B1724" s="108"/>
      <c r="C1724" s="108"/>
    </row>
    <row r="1725" spans="1:3">
      <c r="A1725" s="108"/>
      <c r="B1725" s="108"/>
      <c r="C1725" s="108"/>
    </row>
    <row r="1726" spans="1:3">
      <c r="A1726" s="108"/>
      <c r="B1726" s="108"/>
      <c r="C1726" s="108"/>
    </row>
    <row r="1727" spans="1:3">
      <c r="A1727" s="108"/>
      <c r="B1727" s="108"/>
      <c r="C1727" s="108"/>
    </row>
    <row r="1728" spans="1:3">
      <c r="A1728" s="108"/>
      <c r="B1728" s="108"/>
      <c r="C1728" s="108"/>
    </row>
    <row r="1729" spans="1:3">
      <c r="A1729" s="108"/>
      <c r="B1729" s="108"/>
      <c r="C1729" s="108"/>
    </row>
    <row r="1730" spans="1:3">
      <c r="A1730" s="108"/>
      <c r="B1730" s="108"/>
      <c r="C1730" s="108"/>
    </row>
    <row r="1731" spans="1:3">
      <c r="A1731" s="108"/>
      <c r="B1731" s="108"/>
      <c r="C1731" s="108"/>
    </row>
    <row r="1732" spans="1:3">
      <c r="A1732" s="108"/>
      <c r="B1732" s="108"/>
      <c r="C1732" s="108"/>
    </row>
    <row r="1733" spans="1:3">
      <c r="A1733" s="108"/>
      <c r="B1733" s="108"/>
      <c r="C1733" s="108"/>
    </row>
    <row r="1734" spans="1:3">
      <c r="A1734" s="108"/>
      <c r="B1734" s="108"/>
      <c r="C1734" s="108"/>
    </row>
    <row r="1735" spans="1:3">
      <c r="A1735" s="108"/>
      <c r="B1735" s="108"/>
      <c r="C1735" s="108"/>
    </row>
    <row r="1736" spans="1:3">
      <c r="A1736" s="108"/>
      <c r="B1736" s="108"/>
      <c r="C1736" s="108"/>
    </row>
    <row r="1737" spans="1:3">
      <c r="A1737" s="108"/>
      <c r="B1737" s="108"/>
      <c r="C1737" s="108"/>
    </row>
    <row r="1738" spans="1:3">
      <c r="A1738" s="108"/>
      <c r="B1738" s="108"/>
      <c r="C1738" s="108"/>
    </row>
    <row r="1739" spans="1:3">
      <c r="A1739" s="108"/>
      <c r="B1739" s="108"/>
      <c r="C1739" s="108"/>
    </row>
    <row r="1740" spans="1:3">
      <c r="A1740" s="108"/>
      <c r="B1740" s="108"/>
      <c r="C1740" s="108"/>
    </row>
    <row r="1741" spans="1:3">
      <c r="A1741" s="108"/>
      <c r="B1741" s="108"/>
      <c r="C1741" s="108"/>
    </row>
    <row r="1742" spans="1:3">
      <c r="A1742" s="108"/>
      <c r="B1742" s="108"/>
      <c r="C1742" s="108"/>
    </row>
    <row r="1743" spans="1:3">
      <c r="A1743" s="108"/>
      <c r="B1743" s="108"/>
      <c r="C1743" s="108"/>
    </row>
    <row r="1744" spans="1:3">
      <c r="A1744" s="108"/>
      <c r="B1744" s="108"/>
      <c r="C1744" s="108"/>
    </row>
    <row r="1745" spans="1:3">
      <c r="A1745" s="108"/>
      <c r="B1745" s="108"/>
      <c r="C1745" s="108"/>
    </row>
    <row r="1746" spans="1:3">
      <c r="A1746" s="108"/>
      <c r="B1746" s="108"/>
      <c r="C1746" s="108"/>
    </row>
    <row r="1747" spans="1:3">
      <c r="A1747" s="108"/>
      <c r="B1747" s="108"/>
      <c r="C1747" s="108"/>
    </row>
    <row r="1748" spans="1:3">
      <c r="A1748" s="108"/>
      <c r="B1748" s="108"/>
      <c r="C1748" s="108"/>
    </row>
    <row r="1749" spans="1:3">
      <c r="A1749" s="108"/>
      <c r="B1749" s="108"/>
      <c r="C1749" s="108"/>
    </row>
    <row r="1750" spans="1:3">
      <c r="A1750" s="108"/>
      <c r="B1750" s="108"/>
      <c r="C1750" s="108"/>
    </row>
    <row r="1751" spans="1:3">
      <c r="A1751" s="108"/>
      <c r="B1751" s="108"/>
      <c r="C1751" s="108"/>
    </row>
    <row r="1752" spans="1:3">
      <c r="A1752" s="108"/>
      <c r="B1752" s="108"/>
      <c r="C1752" s="108"/>
    </row>
    <row r="1753" spans="1:3">
      <c r="A1753" s="108"/>
      <c r="B1753" s="108"/>
      <c r="C1753" s="108"/>
    </row>
    <row r="1754" spans="1:3">
      <c r="A1754" s="108"/>
      <c r="B1754" s="108"/>
      <c r="C1754" s="108"/>
    </row>
    <row r="1755" spans="1:3">
      <c r="A1755" s="108"/>
      <c r="B1755" s="108"/>
      <c r="C1755" s="108"/>
    </row>
    <row r="1756" spans="1:3">
      <c r="A1756" s="108"/>
      <c r="B1756" s="108"/>
      <c r="C1756" s="108"/>
    </row>
    <row r="1757" spans="1:3">
      <c r="A1757" s="108"/>
      <c r="B1757" s="108"/>
      <c r="C1757" s="108"/>
    </row>
    <row r="1758" spans="1:3">
      <c r="A1758" s="108"/>
      <c r="B1758" s="108"/>
      <c r="C1758" s="108"/>
    </row>
    <row r="1759" spans="1:3">
      <c r="A1759" s="108"/>
      <c r="B1759" s="108"/>
      <c r="C1759" s="108"/>
    </row>
    <row r="1760" spans="1:3">
      <c r="A1760" s="108"/>
      <c r="B1760" s="108"/>
      <c r="C1760" s="108"/>
    </row>
    <row r="1761" spans="1:3">
      <c r="A1761" s="108"/>
      <c r="B1761" s="108"/>
      <c r="C1761" s="108"/>
    </row>
    <row r="1762" spans="1:3">
      <c r="A1762" s="108"/>
      <c r="B1762" s="108"/>
      <c r="C1762" s="108"/>
    </row>
    <row r="1763" spans="1:3">
      <c r="A1763" s="108"/>
      <c r="B1763" s="108"/>
      <c r="C1763" s="108"/>
    </row>
    <row r="1764" spans="1:3">
      <c r="A1764" s="108"/>
      <c r="B1764" s="108"/>
      <c r="C1764" s="108"/>
    </row>
    <row r="1765" spans="1:3">
      <c r="A1765" s="108"/>
      <c r="B1765" s="108"/>
      <c r="C1765" s="108"/>
    </row>
    <row r="1766" spans="1:3">
      <c r="A1766" s="108"/>
      <c r="B1766" s="108"/>
      <c r="C1766" s="108"/>
    </row>
    <row r="1767" spans="1:3">
      <c r="A1767" s="108"/>
      <c r="B1767" s="108"/>
      <c r="C1767" s="108"/>
    </row>
    <row r="1768" spans="1:3">
      <c r="A1768" s="108"/>
      <c r="B1768" s="108"/>
      <c r="C1768" s="108"/>
    </row>
    <row r="1769" spans="1:3">
      <c r="A1769" s="108"/>
      <c r="B1769" s="108"/>
      <c r="C1769" s="108"/>
    </row>
    <row r="1770" spans="1:3">
      <c r="A1770" s="108"/>
      <c r="B1770" s="108"/>
      <c r="C1770" s="108"/>
    </row>
    <row r="1771" spans="1:3">
      <c r="A1771" s="108"/>
      <c r="B1771" s="108"/>
      <c r="C1771" s="108"/>
    </row>
    <row r="1772" spans="1:3">
      <c r="A1772" s="108"/>
      <c r="B1772" s="108"/>
      <c r="C1772" s="108"/>
    </row>
    <row r="1773" spans="1:3">
      <c r="A1773" s="108"/>
      <c r="B1773" s="108"/>
      <c r="C1773" s="108"/>
    </row>
    <row r="1774" spans="1:3">
      <c r="A1774" s="108"/>
      <c r="B1774" s="108"/>
      <c r="C1774" s="108"/>
    </row>
    <row r="1775" spans="1:3">
      <c r="A1775" s="108"/>
      <c r="B1775" s="108"/>
      <c r="C1775" s="108"/>
    </row>
    <row r="1776" spans="1:3">
      <c r="A1776" s="108"/>
      <c r="B1776" s="108"/>
      <c r="C1776" s="108"/>
    </row>
    <row r="1777" spans="1:3">
      <c r="A1777" s="108"/>
      <c r="B1777" s="108"/>
      <c r="C1777" s="108"/>
    </row>
    <row r="1778" spans="1:3">
      <c r="A1778" s="108"/>
      <c r="B1778" s="108"/>
      <c r="C1778" s="108"/>
    </row>
    <row r="1779" spans="1:3">
      <c r="A1779" s="108"/>
      <c r="B1779" s="108"/>
      <c r="C1779" s="108"/>
    </row>
    <row r="1780" spans="1:3">
      <c r="A1780" s="108"/>
      <c r="B1780" s="108"/>
      <c r="C1780" s="108"/>
    </row>
    <row r="1781" spans="1:3">
      <c r="A1781" s="108"/>
      <c r="B1781" s="108"/>
      <c r="C1781" s="108"/>
    </row>
    <row r="1782" spans="1:3">
      <c r="A1782" s="108"/>
      <c r="B1782" s="108"/>
      <c r="C1782" s="108"/>
    </row>
    <row r="1783" spans="1:3">
      <c r="A1783" s="108"/>
      <c r="B1783" s="108"/>
      <c r="C1783" s="108"/>
    </row>
    <row r="1784" spans="1:3">
      <c r="A1784" s="108"/>
      <c r="B1784" s="108"/>
      <c r="C1784" s="108"/>
    </row>
    <row r="1785" spans="1:3">
      <c r="A1785" s="108"/>
      <c r="B1785" s="108"/>
      <c r="C1785" s="108"/>
    </row>
    <row r="1786" spans="1:3">
      <c r="A1786" s="108"/>
      <c r="B1786" s="108"/>
      <c r="C1786" s="108"/>
    </row>
    <row r="1787" spans="1:3">
      <c r="A1787" s="108"/>
      <c r="B1787" s="108"/>
      <c r="C1787" s="108"/>
    </row>
    <row r="1788" spans="1:3">
      <c r="A1788" s="108"/>
      <c r="B1788" s="108"/>
      <c r="C1788" s="108"/>
    </row>
    <row r="1789" spans="1:3">
      <c r="A1789" s="108"/>
      <c r="B1789" s="108"/>
      <c r="C1789" s="108"/>
    </row>
    <row r="1790" spans="1:3">
      <c r="A1790" s="108"/>
      <c r="B1790" s="108"/>
      <c r="C1790" s="108"/>
    </row>
    <row r="1791" spans="1:3">
      <c r="A1791" s="108"/>
      <c r="B1791" s="108"/>
      <c r="C1791" s="108"/>
    </row>
    <row r="1792" spans="1:3">
      <c r="A1792" s="108"/>
      <c r="B1792" s="108"/>
      <c r="C1792" s="108"/>
    </row>
    <row r="1793" spans="1:3">
      <c r="A1793" s="108"/>
      <c r="B1793" s="108"/>
      <c r="C1793" s="108"/>
    </row>
    <row r="1794" spans="1:3">
      <c r="A1794" s="108"/>
      <c r="B1794" s="108"/>
      <c r="C1794" s="108"/>
    </row>
    <row r="1795" spans="1:3">
      <c r="A1795" s="108"/>
      <c r="B1795" s="108"/>
      <c r="C1795" s="108"/>
    </row>
    <row r="1796" spans="1:3">
      <c r="A1796" s="108"/>
      <c r="B1796" s="108"/>
      <c r="C1796" s="108"/>
    </row>
    <row r="1797" spans="1:3">
      <c r="A1797" s="108"/>
      <c r="B1797" s="108"/>
      <c r="C1797" s="108"/>
    </row>
    <row r="1798" spans="1:3">
      <c r="A1798" s="108"/>
      <c r="B1798" s="108"/>
      <c r="C1798" s="108"/>
    </row>
    <row r="1799" spans="1:3">
      <c r="A1799" s="108"/>
      <c r="B1799" s="108"/>
      <c r="C1799" s="108"/>
    </row>
    <row r="1800" spans="1:3">
      <c r="A1800" s="108"/>
      <c r="B1800" s="108"/>
      <c r="C1800" s="108"/>
    </row>
    <row r="1801" spans="1:3">
      <c r="A1801" s="108"/>
      <c r="B1801" s="108"/>
      <c r="C1801" s="108"/>
    </row>
    <row r="1802" spans="1:3">
      <c r="A1802" s="108"/>
      <c r="B1802" s="108"/>
      <c r="C1802" s="108"/>
    </row>
    <row r="1803" spans="1:3">
      <c r="A1803" s="108"/>
      <c r="B1803" s="108"/>
      <c r="C1803" s="108"/>
    </row>
    <row r="1804" spans="1:3">
      <c r="A1804" s="108"/>
      <c r="B1804" s="108"/>
      <c r="C1804" s="108"/>
    </row>
    <row r="1805" spans="1:3">
      <c r="A1805" s="108"/>
      <c r="B1805" s="108"/>
      <c r="C1805" s="108"/>
    </row>
    <row r="1806" spans="1:3">
      <c r="A1806" s="108"/>
      <c r="B1806" s="108"/>
      <c r="C1806" s="108"/>
    </row>
    <row r="1807" spans="1:3">
      <c r="A1807" s="108"/>
      <c r="B1807" s="108"/>
      <c r="C1807" s="108"/>
    </row>
    <row r="1808" spans="1:3">
      <c r="A1808" s="108"/>
      <c r="B1808" s="108"/>
      <c r="C1808" s="108"/>
    </row>
    <row r="1809" spans="1:3">
      <c r="A1809" s="108"/>
      <c r="B1809" s="108"/>
      <c r="C1809" s="108"/>
    </row>
    <row r="1810" spans="1:3">
      <c r="A1810" s="108"/>
      <c r="B1810" s="108"/>
      <c r="C1810" s="108"/>
    </row>
    <row r="1811" spans="1:3">
      <c r="A1811" s="108"/>
      <c r="B1811" s="108"/>
      <c r="C1811" s="108"/>
    </row>
    <row r="1812" spans="1:3">
      <c r="A1812" s="108"/>
      <c r="B1812" s="108"/>
      <c r="C1812" s="108"/>
    </row>
    <row r="1813" spans="1:3">
      <c r="A1813" s="108"/>
      <c r="B1813" s="108"/>
      <c r="C1813" s="108"/>
    </row>
    <row r="1814" spans="1:3">
      <c r="A1814" s="108"/>
      <c r="B1814" s="108"/>
      <c r="C1814" s="108"/>
    </row>
    <row r="1815" spans="1:3">
      <c r="A1815" s="108"/>
      <c r="B1815" s="108"/>
      <c r="C1815" s="108"/>
    </row>
    <row r="1816" spans="1:3">
      <c r="A1816" s="108"/>
      <c r="B1816" s="108"/>
      <c r="C1816" s="108"/>
    </row>
    <row r="1817" spans="1:3">
      <c r="A1817" s="108"/>
      <c r="B1817" s="108"/>
      <c r="C1817" s="108"/>
    </row>
    <row r="1818" spans="1:3">
      <c r="A1818" s="108"/>
      <c r="B1818" s="108"/>
      <c r="C1818" s="108"/>
    </row>
    <row r="1819" spans="1:3">
      <c r="A1819" s="108"/>
      <c r="B1819" s="108"/>
      <c r="C1819" s="108"/>
    </row>
    <row r="1820" spans="1:3">
      <c r="A1820" s="108"/>
      <c r="B1820" s="108"/>
      <c r="C1820" s="108"/>
    </row>
    <row r="1821" spans="1:3">
      <c r="A1821" s="108"/>
      <c r="B1821" s="108"/>
      <c r="C1821" s="108"/>
    </row>
    <row r="1822" spans="1:3">
      <c r="A1822" s="108"/>
      <c r="B1822" s="108"/>
      <c r="C1822" s="108"/>
    </row>
    <row r="1823" spans="1:3">
      <c r="A1823" s="108"/>
      <c r="B1823" s="108"/>
      <c r="C1823" s="108"/>
    </row>
    <row r="1824" spans="1:3">
      <c r="A1824" s="108"/>
      <c r="B1824" s="108"/>
      <c r="C1824" s="108"/>
    </row>
    <row r="1825" spans="1:3">
      <c r="A1825" s="108"/>
      <c r="B1825" s="108"/>
      <c r="C1825" s="108"/>
    </row>
    <row r="1826" spans="1:3">
      <c r="A1826" s="108"/>
      <c r="B1826" s="108"/>
      <c r="C1826" s="108"/>
    </row>
    <row r="1827" spans="1:3">
      <c r="A1827" s="108"/>
      <c r="B1827" s="108"/>
      <c r="C1827" s="108"/>
    </row>
    <row r="1828" spans="1:3">
      <c r="A1828" s="108"/>
      <c r="B1828" s="108"/>
      <c r="C1828" s="108"/>
    </row>
    <row r="1829" spans="1:3">
      <c r="A1829" s="108"/>
      <c r="B1829" s="108"/>
      <c r="C1829" s="108"/>
    </row>
    <row r="1830" spans="1:3">
      <c r="A1830" s="108"/>
      <c r="B1830" s="108"/>
      <c r="C1830" s="108"/>
    </row>
    <row r="1831" spans="1:3">
      <c r="A1831" s="108"/>
      <c r="B1831" s="108"/>
      <c r="C1831" s="108"/>
    </row>
    <row r="1832" spans="1:3">
      <c r="A1832" s="108"/>
      <c r="B1832" s="108"/>
      <c r="C1832" s="108"/>
    </row>
    <row r="1833" spans="1:3">
      <c r="A1833" s="108"/>
      <c r="B1833" s="108"/>
      <c r="C1833" s="108"/>
    </row>
    <row r="1834" spans="1:3">
      <c r="A1834" s="108"/>
      <c r="B1834" s="108"/>
      <c r="C1834" s="108"/>
    </row>
    <row r="1835" spans="1:3">
      <c r="A1835" s="108"/>
      <c r="B1835" s="108"/>
      <c r="C1835" s="108"/>
    </row>
    <row r="1836" spans="1:3">
      <c r="A1836" s="108"/>
      <c r="B1836" s="108"/>
      <c r="C1836" s="108"/>
    </row>
    <row r="1837" spans="1:3">
      <c r="A1837" s="108"/>
      <c r="B1837" s="108"/>
      <c r="C1837" s="108"/>
    </row>
    <row r="1838" spans="1:3">
      <c r="A1838" s="108"/>
      <c r="B1838" s="108"/>
      <c r="C1838" s="108"/>
    </row>
    <row r="1839" spans="1:3">
      <c r="A1839" s="108"/>
      <c r="B1839" s="108"/>
      <c r="C1839" s="108"/>
    </row>
    <row r="1840" spans="1:3">
      <c r="A1840" s="108"/>
      <c r="B1840" s="108"/>
      <c r="C1840" s="108"/>
    </row>
    <row r="1841" spans="1:3">
      <c r="A1841" s="108"/>
      <c r="B1841" s="108"/>
      <c r="C1841" s="108"/>
    </row>
    <row r="1842" spans="1:3">
      <c r="A1842" s="108"/>
      <c r="B1842" s="108"/>
      <c r="C1842" s="108"/>
    </row>
    <row r="1843" spans="1:3">
      <c r="A1843" s="108"/>
      <c r="B1843" s="108"/>
      <c r="C1843" s="108"/>
    </row>
    <row r="1844" spans="1:3">
      <c r="A1844" s="108"/>
      <c r="B1844" s="108"/>
      <c r="C1844" s="108"/>
    </row>
    <row r="1845" spans="1:3">
      <c r="A1845" s="108"/>
      <c r="B1845" s="108"/>
      <c r="C1845" s="108"/>
    </row>
    <row r="1846" spans="1:3">
      <c r="A1846" s="108"/>
      <c r="B1846" s="108"/>
      <c r="C1846" s="108"/>
    </row>
    <row r="1847" spans="1:3">
      <c r="A1847" s="108"/>
      <c r="B1847" s="108"/>
      <c r="C1847" s="108"/>
    </row>
    <row r="1848" spans="1:3">
      <c r="A1848" s="108"/>
      <c r="B1848" s="108"/>
      <c r="C1848" s="108"/>
    </row>
    <row r="1849" spans="1:3">
      <c r="A1849" s="108"/>
      <c r="B1849" s="108"/>
      <c r="C1849" s="108"/>
    </row>
    <row r="1850" spans="1:3">
      <c r="A1850" s="108"/>
      <c r="B1850" s="108"/>
      <c r="C1850" s="108"/>
    </row>
    <row r="1851" spans="1:3">
      <c r="A1851" s="108"/>
      <c r="B1851" s="108"/>
      <c r="C1851" s="108"/>
    </row>
    <row r="1852" spans="1:3">
      <c r="A1852" s="108"/>
      <c r="B1852" s="108"/>
      <c r="C1852" s="108"/>
    </row>
    <row r="1853" spans="1:3">
      <c r="A1853" s="108"/>
      <c r="B1853" s="108"/>
      <c r="C1853" s="108"/>
    </row>
    <row r="1854" spans="1:3">
      <c r="A1854" s="108"/>
      <c r="B1854" s="108"/>
      <c r="C1854" s="108"/>
    </row>
    <row r="1855" spans="1:3">
      <c r="A1855" s="108"/>
      <c r="B1855" s="108"/>
      <c r="C1855" s="108"/>
    </row>
    <row r="1856" spans="1:3">
      <c r="A1856" s="108"/>
      <c r="B1856" s="108"/>
      <c r="C1856" s="108"/>
    </row>
    <row r="1857" spans="1:3">
      <c r="A1857" s="108"/>
      <c r="B1857" s="108"/>
      <c r="C1857" s="108"/>
    </row>
    <row r="1858" spans="1:3">
      <c r="A1858" s="108"/>
      <c r="B1858" s="108"/>
      <c r="C1858" s="108"/>
    </row>
    <row r="1859" spans="1:3">
      <c r="A1859" s="108"/>
      <c r="B1859" s="108"/>
      <c r="C1859" s="108"/>
    </row>
    <row r="1860" spans="1:3">
      <c r="A1860" s="108"/>
      <c r="B1860" s="108"/>
      <c r="C1860" s="108"/>
    </row>
    <row r="1861" spans="1:3">
      <c r="A1861" s="108"/>
      <c r="B1861" s="108"/>
      <c r="C1861" s="108"/>
    </row>
    <row r="1862" spans="1:3">
      <c r="A1862" s="108"/>
      <c r="B1862" s="108"/>
      <c r="C1862" s="108"/>
    </row>
    <row r="1863" spans="1:3">
      <c r="A1863" s="108"/>
      <c r="B1863" s="108"/>
      <c r="C1863" s="108"/>
    </row>
    <row r="1864" spans="1:3">
      <c r="A1864" s="108"/>
      <c r="B1864" s="108"/>
      <c r="C1864" s="108"/>
    </row>
    <row r="1865" spans="1:3">
      <c r="A1865" s="108"/>
      <c r="B1865" s="108"/>
      <c r="C1865" s="108"/>
    </row>
    <row r="1866" spans="1:3">
      <c r="A1866" s="108"/>
      <c r="B1866" s="108"/>
      <c r="C1866" s="108"/>
    </row>
    <row r="1867" spans="1:3">
      <c r="A1867" s="108"/>
      <c r="B1867" s="108"/>
      <c r="C1867" s="108"/>
    </row>
    <row r="1868" spans="1:3">
      <c r="A1868" s="108"/>
      <c r="B1868" s="108"/>
      <c r="C1868" s="108"/>
    </row>
    <row r="1869" spans="1:3">
      <c r="A1869" s="108"/>
      <c r="B1869" s="108"/>
      <c r="C1869" s="108"/>
    </row>
    <row r="1870" spans="1:3">
      <c r="A1870" s="108"/>
      <c r="B1870" s="108"/>
      <c r="C1870" s="108"/>
    </row>
    <row r="1871" spans="1:3">
      <c r="A1871" s="108"/>
      <c r="B1871" s="108"/>
      <c r="C1871" s="108"/>
    </row>
    <row r="1872" spans="1:3">
      <c r="A1872" s="108"/>
      <c r="B1872" s="108"/>
      <c r="C1872" s="108"/>
    </row>
    <row r="1873" spans="1:3">
      <c r="A1873" s="108"/>
      <c r="B1873" s="108"/>
      <c r="C1873" s="108"/>
    </row>
    <row r="1874" spans="1:3">
      <c r="A1874" s="108"/>
      <c r="B1874" s="108"/>
      <c r="C1874" s="108"/>
    </row>
    <row r="1875" spans="1:3">
      <c r="A1875" s="108"/>
      <c r="B1875" s="108"/>
      <c r="C1875" s="108"/>
    </row>
    <row r="1876" spans="1:3">
      <c r="A1876" s="108"/>
      <c r="B1876" s="108"/>
      <c r="C1876" s="108"/>
    </row>
    <row r="1877" spans="1:3">
      <c r="A1877" s="108"/>
      <c r="B1877" s="108"/>
      <c r="C1877" s="108"/>
    </row>
    <row r="1878" spans="1:3">
      <c r="A1878" s="108"/>
      <c r="B1878" s="108"/>
      <c r="C1878" s="108"/>
    </row>
    <row r="1879" spans="1:3">
      <c r="A1879" s="108"/>
      <c r="B1879" s="108"/>
      <c r="C1879" s="108"/>
    </row>
    <row r="1880" spans="1:3">
      <c r="A1880" s="108"/>
      <c r="B1880" s="108"/>
      <c r="C1880" s="108"/>
    </row>
    <row r="1881" spans="1:3">
      <c r="A1881" s="108"/>
      <c r="B1881" s="108"/>
      <c r="C1881" s="108"/>
    </row>
    <row r="1882" spans="1:3">
      <c r="A1882" s="108"/>
      <c r="B1882" s="108"/>
      <c r="C1882" s="108"/>
    </row>
    <row r="1883" spans="1:3">
      <c r="A1883" s="108"/>
      <c r="B1883" s="108"/>
      <c r="C1883" s="108"/>
    </row>
    <row r="1884" spans="1:3">
      <c r="A1884" s="108"/>
      <c r="B1884" s="108"/>
      <c r="C1884" s="108"/>
    </row>
    <row r="1885" spans="1:3">
      <c r="A1885" s="108"/>
      <c r="B1885" s="108"/>
      <c r="C1885" s="108"/>
    </row>
    <row r="1886" spans="1:3">
      <c r="A1886" s="108"/>
      <c r="B1886" s="108"/>
      <c r="C1886" s="108"/>
    </row>
    <row r="1887" spans="1:3">
      <c r="A1887" s="108"/>
      <c r="B1887" s="108"/>
      <c r="C1887" s="108"/>
    </row>
    <row r="1888" spans="1:3">
      <c r="A1888" s="108"/>
      <c r="B1888" s="108"/>
      <c r="C1888" s="108"/>
    </row>
    <row r="1889" spans="1:3">
      <c r="A1889" s="108"/>
      <c r="B1889" s="108"/>
      <c r="C1889" s="108"/>
    </row>
    <row r="1890" spans="1:3">
      <c r="A1890" s="108"/>
      <c r="B1890" s="108"/>
      <c r="C1890" s="108"/>
    </row>
    <row r="1891" spans="1:3">
      <c r="A1891" s="108"/>
      <c r="B1891" s="108"/>
      <c r="C1891" s="108"/>
    </row>
    <row r="1892" spans="1:3">
      <c r="A1892" s="108"/>
      <c r="B1892" s="108"/>
      <c r="C1892" s="108"/>
    </row>
    <row r="1893" spans="1:3">
      <c r="A1893" s="108"/>
      <c r="B1893" s="108"/>
      <c r="C1893" s="108"/>
    </row>
    <row r="1894" spans="1:3">
      <c r="A1894" s="108"/>
      <c r="B1894" s="108"/>
      <c r="C1894" s="108"/>
    </row>
    <row r="1895" spans="1:3">
      <c r="A1895" s="108"/>
      <c r="B1895" s="108"/>
      <c r="C1895" s="108"/>
    </row>
    <row r="1896" spans="1:3">
      <c r="A1896" s="108"/>
      <c r="B1896" s="108"/>
      <c r="C1896" s="108"/>
    </row>
    <row r="1897" spans="1:3">
      <c r="A1897" s="108"/>
      <c r="B1897" s="108"/>
      <c r="C1897" s="108"/>
    </row>
    <row r="1898" spans="1:3">
      <c r="A1898" s="108"/>
      <c r="B1898" s="108"/>
      <c r="C1898" s="108"/>
    </row>
    <row r="1899" spans="1:3">
      <c r="A1899" s="108"/>
      <c r="B1899" s="108"/>
      <c r="C1899" s="108"/>
    </row>
    <row r="1900" spans="1:3">
      <c r="A1900" s="108"/>
      <c r="B1900" s="108"/>
      <c r="C1900" s="108"/>
    </row>
    <row r="1901" spans="1:3">
      <c r="A1901" s="108"/>
      <c r="B1901" s="108"/>
      <c r="C1901" s="108"/>
    </row>
    <row r="1902" spans="1:3">
      <c r="A1902" s="108"/>
      <c r="B1902" s="108"/>
      <c r="C1902" s="108"/>
    </row>
    <row r="1903" spans="1:3">
      <c r="A1903" s="108"/>
      <c r="B1903" s="108"/>
      <c r="C1903" s="108"/>
    </row>
    <row r="1904" spans="1:3">
      <c r="A1904" s="108"/>
      <c r="B1904" s="108"/>
      <c r="C1904" s="108"/>
    </row>
    <row r="1905" spans="1:3">
      <c r="A1905" s="108"/>
      <c r="B1905" s="108"/>
      <c r="C1905" s="108"/>
    </row>
    <row r="1906" spans="1:3">
      <c r="A1906" s="108"/>
      <c r="B1906" s="108"/>
      <c r="C1906" s="108"/>
    </row>
    <row r="1907" spans="1:3">
      <c r="A1907" s="108"/>
      <c r="B1907" s="108"/>
      <c r="C1907" s="108"/>
    </row>
    <row r="1908" spans="1:3">
      <c r="A1908" s="108"/>
      <c r="B1908" s="108"/>
      <c r="C1908" s="108"/>
    </row>
    <row r="1909" spans="1:3">
      <c r="A1909" s="108"/>
      <c r="B1909" s="108"/>
      <c r="C1909" s="108"/>
    </row>
    <row r="1910" spans="1:3">
      <c r="A1910" s="108"/>
      <c r="B1910" s="108"/>
      <c r="C1910" s="108"/>
    </row>
    <row r="1911" spans="1:3">
      <c r="A1911" s="108"/>
      <c r="B1911" s="108"/>
      <c r="C1911" s="108"/>
    </row>
    <row r="1912" spans="1:3">
      <c r="A1912" s="108"/>
      <c r="B1912" s="108"/>
      <c r="C1912" s="108"/>
    </row>
    <row r="1913" spans="1:3">
      <c r="A1913" s="108"/>
      <c r="B1913" s="108"/>
      <c r="C1913" s="108"/>
    </row>
    <row r="1914" spans="1:3">
      <c r="A1914" s="108"/>
      <c r="B1914" s="108"/>
      <c r="C1914" s="108"/>
    </row>
    <row r="1915" spans="1:3">
      <c r="A1915" s="108"/>
      <c r="B1915" s="108"/>
      <c r="C1915" s="108"/>
    </row>
    <row r="1916" spans="1:3">
      <c r="A1916" s="108"/>
      <c r="B1916" s="108"/>
      <c r="C1916" s="108"/>
    </row>
    <row r="1917" spans="1:3">
      <c r="A1917" s="108"/>
      <c r="B1917" s="108"/>
      <c r="C1917" s="108"/>
    </row>
    <row r="1918" spans="1:3">
      <c r="A1918" s="108"/>
      <c r="B1918" s="108"/>
      <c r="C1918" s="108"/>
    </row>
    <row r="1919" spans="1:3">
      <c r="A1919" s="108"/>
      <c r="B1919" s="108"/>
      <c r="C1919" s="108"/>
    </row>
    <row r="1920" spans="1:3">
      <c r="A1920" s="108"/>
      <c r="B1920" s="108"/>
      <c r="C1920" s="108"/>
    </row>
    <row r="1921" spans="1:3">
      <c r="A1921" s="108"/>
      <c r="B1921" s="108"/>
      <c r="C1921" s="108"/>
    </row>
    <row r="1922" spans="1:3">
      <c r="A1922" s="108"/>
      <c r="B1922" s="108"/>
      <c r="C1922" s="108"/>
    </row>
    <row r="1923" spans="1:3">
      <c r="A1923" s="108"/>
      <c r="B1923" s="108"/>
      <c r="C1923" s="108"/>
    </row>
    <row r="1924" spans="1:3">
      <c r="A1924" s="108"/>
      <c r="B1924" s="108"/>
      <c r="C1924" s="108"/>
    </row>
    <row r="1925" spans="1:3">
      <c r="A1925" s="108"/>
      <c r="B1925" s="108"/>
      <c r="C1925" s="108"/>
    </row>
    <row r="1926" spans="1:3">
      <c r="A1926" s="108"/>
      <c r="B1926" s="108"/>
      <c r="C1926" s="108"/>
    </row>
    <row r="1927" spans="1:3">
      <c r="A1927" s="108"/>
      <c r="B1927" s="108"/>
      <c r="C1927" s="108"/>
    </row>
    <row r="1928" spans="1:3">
      <c r="A1928" s="108"/>
      <c r="B1928" s="108"/>
      <c r="C1928" s="108"/>
    </row>
    <row r="1929" spans="1:3">
      <c r="A1929" s="108"/>
      <c r="B1929" s="108"/>
      <c r="C1929" s="108"/>
    </row>
    <row r="1930" spans="1:3">
      <c r="A1930" s="108"/>
      <c r="B1930" s="108"/>
      <c r="C1930" s="108"/>
    </row>
    <row r="1931" spans="1:3">
      <c r="A1931" s="108"/>
      <c r="B1931" s="108"/>
      <c r="C1931" s="108"/>
    </row>
    <row r="1932" spans="1:3">
      <c r="A1932" s="108"/>
      <c r="B1932" s="108"/>
      <c r="C1932" s="108"/>
    </row>
    <row r="1933" spans="1:3">
      <c r="A1933" s="108"/>
      <c r="B1933" s="108"/>
      <c r="C1933" s="108"/>
    </row>
    <row r="1934" spans="1:3">
      <c r="A1934" s="108"/>
      <c r="B1934" s="108"/>
      <c r="C1934" s="108"/>
    </row>
    <row r="1935" spans="1:3">
      <c r="A1935" s="108"/>
      <c r="B1935" s="108"/>
      <c r="C1935" s="108"/>
    </row>
    <row r="1936" spans="1:3">
      <c r="A1936" s="108"/>
      <c r="B1936" s="108"/>
      <c r="C1936" s="108"/>
    </row>
    <row r="1937" spans="1:3">
      <c r="A1937" s="108"/>
      <c r="B1937" s="108"/>
      <c r="C1937" s="108"/>
    </row>
    <row r="1938" spans="1:3">
      <c r="A1938" s="108"/>
      <c r="B1938" s="108"/>
      <c r="C1938" s="108"/>
    </row>
    <row r="1939" spans="1:3">
      <c r="A1939" s="108"/>
      <c r="B1939" s="108"/>
      <c r="C1939" s="108"/>
    </row>
    <row r="1940" spans="1:3">
      <c r="A1940" s="108"/>
      <c r="B1940" s="108"/>
      <c r="C1940" s="108"/>
    </row>
    <row r="1941" spans="1:3">
      <c r="A1941" s="108"/>
      <c r="B1941" s="108"/>
      <c r="C1941" s="108"/>
    </row>
    <row r="1942" spans="1:3">
      <c r="A1942" s="108"/>
      <c r="B1942" s="108"/>
      <c r="C1942" s="108"/>
    </row>
    <row r="1943" spans="1:3">
      <c r="A1943" s="108"/>
      <c r="B1943" s="108"/>
      <c r="C1943" s="108"/>
    </row>
    <row r="1944" spans="1:3">
      <c r="A1944" s="108"/>
      <c r="B1944" s="108"/>
      <c r="C1944" s="108"/>
    </row>
    <row r="1945" spans="1:3">
      <c r="A1945" s="108"/>
      <c r="B1945" s="108"/>
      <c r="C1945" s="108"/>
    </row>
    <row r="1946" spans="1:3">
      <c r="A1946" s="108"/>
      <c r="B1946" s="108"/>
      <c r="C1946" s="108"/>
    </row>
    <row r="1947" spans="1:3">
      <c r="A1947" s="108"/>
      <c r="B1947" s="108"/>
      <c r="C1947" s="108"/>
    </row>
    <row r="1948" spans="1:3">
      <c r="A1948" s="108"/>
      <c r="B1948" s="108"/>
      <c r="C1948" s="108"/>
    </row>
    <row r="1949" spans="1:3">
      <c r="A1949" s="108"/>
      <c r="B1949" s="108"/>
      <c r="C1949" s="108"/>
    </row>
    <row r="1950" spans="1:3">
      <c r="A1950" s="108"/>
      <c r="B1950" s="108"/>
      <c r="C1950" s="108"/>
    </row>
    <row r="1951" spans="1:3">
      <c r="A1951" s="108"/>
      <c r="B1951" s="108"/>
      <c r="C1951" s="108"/>
    </row>
    <row r="1952" spans="1:3">
      <c r="A1952" s="108"/>
      <c r="B1952" s="108"/>
      <c r="C1952" s="108"/>
    </row>
    <row r="1953" spans="1:3">
      <c r="A1953" s="108"/>
      <c r="B1953" s="108"/>
      <c r="C1953" s="108"/>
    </row>
    <row r="1954" spans="1:3">
      <c r="A1954" s="108"/>
      <c r="B1954" s="108"/>
      <c r="C1954" s="108"/>
    </row>
    <row r="1955" spans="1:3">
      <c r="A1955" s="108"/>
      <c r="B1955" s="108"/>
      <c r="C1955" s="108"/>
    </row>
    <row r="1956" spans="1:3">
      <c r="A1956" s="108"/>
      <c r="B1956" s="108"/>
      <c r="C1956" s="108"/>
    </row>
    <row r="1957" spans="1:3">
      <c r="A1957" s="108"/>
      <c r="B1957" s="108"/>
      <c r="C1957" s="108"/>
    </row>
    <row r="1958" spans="1:3">
      <c r="A1958" s="108"/>
      <c r="B1958" s="108"/>
      <c r="C1958" s="108"/>
    </row>
    <row r="1959" spans="1:3">
      <c r="A1959" s="108"/>
      <c r="B1959" s="108"/>
      <c r="C1959" s="108"/>
    </row>
    <row r="1960" spans="1:3">
      <c r="A1960" s="108"/>
      <c r="B1960" s="108"/>
      <c r="C1960" s="108"/>
    </row>
    <row r="1961" spans="1:3">
      <c r="A1961" s="108"/>
      <c r="B1961" s="108"/>
      <c r="C1961" s="108"/>
    </row>
    <row r="1962" spans="1:3">
      <c r="A1962" s="108"/>
      <c r="B1962" s="108"/>
      <c r="C1962" s="108"/>
    </row>
    <row r="1963" spans="1:3">
      <c r="A1963" s="108"/>
      <c r="B1963" s="108"/>
      <c r="C1963" s="108"/>
    </row>
    <row r="1964" spans="1:3">
      <c r="A1964" s="108"/>
      <c r="B1964" s="108"/>
      <c r="C1964" s="108"/>
    </row>
    <row r="1965" spans="1:3">
      <c r="A1965" s="108"/>
      <c r="B1965" s="108"/>
      <c r="C1965" s="108"/>
    </row>
    <row r="1966" spans="1:3">
      <c r="A1966" s="108"/>
      <c r="B1966" s="108"/>
      <c r="C1966" s="108"/>
    </row>
    <row r="1967" spans="1:3">
      <c r="A1967" s="108"/>
      <c r="B1967" s="108"/>
      <c r="C1967" s="108"/>
    </row>
    <row r="1968" spans="1:3">
      <c r="A1968" s="108"/>
      <c r="B1968" s="108"/>
      <c r="C1968" s="108"/>
    </row>
    <row r="1969" spans="1:3">
      <c r="A1969" s="108"/>
      <c r="B1969" s="108"/>
      <c r="C1969" s="108"/>
    </row>
    <row r="1970" spans="1:3">
      <c r="A1970" s="108"/>
      <c r="B1970" s="108"/>
      <c r="C1970" s="108"/>
    </row>
    <row r="1971" spans="1:3">
      <c r="A1971" s="108"/>
      <c r="B1971" s="108"/>
      <c r="C1971" s="108"/>
    </row>
    <row r="1972" spans="1:3">
      <c r="A1972" s="108"/>
      <c r="B1972" s="108"/>
      <c r="C1972" s="108"/>
    </row>
    <row r="1973" spans="1:3">
      <c r="A1973" s="108"/>
      <c r="B1973" s="108"/>
      <c r="C1973" s="108"/>
    </row>
    <row r="1974" spans="1:3">
      <c r="A1974" s="108"/>
      <c r="B1974" s="108"/>
      <c r="C1974" s="108"/>
    </row>
    <row r="1975" spans="1:3">
      <c r="A1975" s="108"/>
      <c r="B1975" s="108"/>
      <c r="C1975" s="108"/>
    </row>
    <row r="1976" spans="1:3">
      <c r="A1976" s="108"/>
      <c r="B1976" s="108"/>
      <c r="C1976" s="108"/>
    </row>
    <row r="1977" spans="1:3">
      <c r="A1977" s="108"/>
      <c r="B1977" s="108"/>
      <c r="C1977" s="108"/>
    </row>
    <row r="1978" spans="1:3">
      <c r="A1978" s="108"/>
      <c r="B1978" s="108"/>
      <c r="C1978" s="108"/>
    </row>
    <row r="1979" spans="1:3">
      <c r="A1979" s="108"/>
      <c r="B1979" s="108"/>
      <c r="C1979" s="108"/>
    </row>
    <row r="1980" spans="1:3">
      <c r="A1980" s="108"/>
      <c r="B1980" s="108"/>
      <c r="C1980" s="108"/>
    </row>
    <row r="1981" spans="1:3">
      <c r="A1981" s="108"/>
      <c r="B1981" s="108"/>
      <c r="C1981" s="108"/>
    </row>
    <row r="1982" spans="1:3">
      <c r="A1982" s="108"/>
      <c r="B1982" s="108"/>
      <c r="C1982" s="108"/>
    </row>
    <row r="1983" spans="1:3">
      <c r="A1983" s="108"/>
      <c r="B1983" s="108"/>
      <c r="C1983" s="108"/>
    </row>
    <row r="1984" spans="1:3">
      <c r="A1984" s="108"/>
      <c r="B1984" s="108"/>
      <c r="C1984" s="108"/>
    </row>
    <row r="1985" spans="1:3">
      <c r="A1985" s="108"/>
      <c r="B1985" s="108"/>
      <c r="C1985" s="108"/>
    </row>
    <row r="1986" spans="1:3">
      <c r="A1986" s="108"/>
      <c r="B1986" s="108"/>
      <c r="C1986" s="108"/>
    </row>
    <row r="1987" spans="1:3">
      <c r="A1987" s="108"/>
      <c r="B1987" s="108"/>
      <c r="C1987" s="108"/>
    </row>
    <row r="1988" spans="1:3">
      <c r="A1988" s="108"/>
      <c r="B1988" s="108"/>
      <c r="C1988" s="108"/>
    </row>
    <row r="1989" spans="1:3">
      <c r="A1989" s="108"/>
      <c r="B1989" s="108"/>
      <c r="C1989" s="108"/>
    </row>
    <row r="1990" spans="1:3">
      <c r="A1990" s="108"/>
      <c r="B1990" s="108"/>
      <c r="C1990" s="108"/>
    </row>
    <row r="1991" spans="1:3">
      <c r="A1991" s="108"/>
      <c r="B1991" s="108"/>
      <c r="C1991" s="108"/>
    </row>
    <row r="1992" spans="1:3">
      <c r="A1992" s="108"/>
      <c r="B1992" s="108"/>
      <c r="C1992" s="108"/>
    </row>
    <row r="1993" spans="1:3">
      <c r="A1993" s="108"/>
      <c r="B1993" s="108"/>
      <c r="C1993" s="108"/>
    </row>
    <row r="1994" spans="1:3">
      <c r="A1994" s="108"/>
      <c r="B1994" s="108"/>
      <c r="C1994" s="108"/>
    </row>
    <row r="1995" spans="1:3">
      <c r="A1995" s="108"/>
      <c r="B1995" s="108"/>
      <c r="C1995" s="108"/>
    </row>
    <row r="1996" spans="1:3">
      <c r="A1996" s="108"/>
      <c r="B1996" s="108"/>
      <c r="C1996" s="108"/>
    </row>
    <row r="1997" spans="1:3">
      <c r="A1997" s="108"/>
      <c r="B1997" s="108"/>
      <c r="C1997" s="108"/>
    </row>
    <row r="1998" spans="1:3">
      <c r="A1998" s="108"/>
      <c r="B1998" s="108"/>
      <c r="C1998" s="108"/>
    </row>
    <row r="1999" spans="1:3">
      <c r="A1999" s="108"/>
      <c r="B1999" s="108"/>
      <c r="C1999" s="108"/>
    </row>
    <row r="2000" spans="1:3">
      <c r="A2000" s="108"/>
      <c r="B2000" s="108"/>
      <c r="C2000" s="108"/>
    </row>
    <row r="2001" spans="1:3">
      <c r="A2001" s="108"/>
      <c r="B2001" s="108"/>
      <c r="C2001" s="108"/>
    </row>
    <row r="2002" spans="1:3">
      <c r="A2002" s="108"/>
      <c r="B2002" s="108"/>
      <c r="C2002" s="108"/>
    </row>
    <row r="2003" spans="1:3">
      <c r="A2003" s="108"/>
      <c r="B2003" s="108"/>
      <c r="C2003" s="108"/>
    </row>
    <row r="2004" spans="1:3">
      <c r="A2004" s="108"/>
      <c r="B2004" s="108"/>
      <c r="C2004" s="108"/>
    </row>
    <row r="2005" spans="1:3">
      <c r="A2005" s="108"/>
      <c r="B2005" s="108"/>
      <c r="C2005" s="108"/>
    </row>
    <row r="2006" spans="1:3">
      <c r="A2006" s="108"/>
      <c r="B2006" s="108"/>
      <c r="C2006" s="108"/>
    </row>
    <row r="2007" spans="1:3">
      <c r="A2007" s="108"/>
      <c r="B2007" s="108"/>
      <c r="C2007" s="108"/>
    </row>
    <row r="2008" spans="1:3">
      <c r="A2008" s="108"/>
      <c r="B2008" s="108"/>
      <c r="C2008" s="10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3:P33"/>
  <sheetViews>
    <sheetView workbookViewId="0">
      <selection activeCell="B19" sqref="B19"/>
    </sheetView>
  </sheetViews>
  <sheetFormatPr defaultRowHeight="15.75"/>
  <cols>
    <col min="1" max="1" width="25.875" customWidth="1"/>
    <col min="2" max="2" width="17.875" customWidth="1"/>
    <col min="3" max="5" width="11.875" bestFit="1" customWidth="1"/>
  </cols>
  <sheetData>
    <row r="3" spans="1:16">
      <c r="A3" t="s">
        <v>378</v>
      </c>
      <c r="B3" s="162">
        <f>Intermediates!D12</f>
        <v>1295.9999710321426</v>
      </c>
      <c r="C3" s="162">
        <f>Intermediates!E12</f>
        <v>1296</v>
      </c>
      <c r="D3" s="162">
        <f>Intermediates!F12</f>
        <v>1296</v>
      </c>
      <c r="E3" s="162">
        <f>Intermediates!G12</f>
        <v>6480</v>
      </c>
    </row>
    <row r="4" spans="1:16">
      <c r="A4" t="s">
        <v>380</v>
      </c>
      <c r="B4">
        <f>Intermediates!D16*Inputs!D17</f>
        <v>928.00000209461177</v>
      </c>
      <c r="C4">
        <f>Intermediates!E16*Inputs!E17</f>
        <v>3712.0001040637726</v>
      </c>
      <c r="D4">
        <f>Intermediates!F16*Inputs!F17</f>
        <v>3712.0001040637726</v>
      </c>
      <c r="E4">
        <f>Intermediates!G16*Inputs!G17</f>
        <v>18560.000520318863</v>
      </c>
    </row>
    <row r="5" spans="1:16">
      <c r="A5" t="s">
        <v>383</v>
      </c>
      <c r="B5" s="162">
        <f>B3+B4</f>
        <v>2223.9999731267544</v>
      </c>
      <c r="C5" s="162">
        <f>C3+C4</f>
        <v>5008.0001040637726</v>
      </c>
      <c r="D5" s="162">
        <f>D3+D4</f>
        <v>5008.0001040637726</v>
      </c>
      <c r="E5" s="162">
        <f>E3+E4</f>
        <v>25040.000520318863</v>
      </c>
    </row>
    <row r="6" spans="1:16">
      <c r="A6" t="s">
        <v>379</v>
      </c>
      <c r="B6">
        <f>Intermediates!D34/B5</f>
        <v>0.34898739652686578</v>
      </c>
      <c r="C6">
        <f>Intermediates!E34/C5</f>
        <v>0.28026996691042788</v>
      </c>
      <c r="D6">
        <f>Intermediates!F34/D5</f>
        <v>0.28026996691042788</v>
      </c>
      <c r="E6">
        <f>Intermediates!G34/E5</f>
        <v>0.28026996691042783</v>
      </c>
    </row>
    <row r="7" spans="1:16">
      <c r="A7" t="s">
        <v>381</v>
      </c>
      <c r="B7" s="162">
        <f>Intermediates!D31</f>
        <v>465.6887948032047</v>
      </c>
      <c r="C7" s="162">
        <f>Intermediates!E31</f>
        <v>842.15521407202368</v>
      </c>
      <c r="D7" s="162">
        <f>Intermediates!F31</f>
        <v>842.15521407202368</v>
      </c>
      <c r="E7" s="162">
        <f>Intermediates!G31</f>
        <v>4210.776070360118</v>
      </c>
    </row>
    <row r="8" spans="1:16">
      <c r="A8" t="s">
        <v>382</v>
      </c>
      <c r="B8">
        <f>B7/B5</f>
        <v>0.20939244623662739</v>
      </c>
      <c r="C8">
        <f>C7/C5</f>
        <v>0.16816198014625672</v>
      </c>
      <c r="D8">
        <f>D7/D5</f>
        <v>0.16816198014625672</v>
      </c>
      <c r="E8">
        <f>E7/E5</f>
        <v>0.16816198014625669</v>
      </c>
    </row>
    <row r="9" spans="1:16">
      <c r="B9">
        <f>B8*1000</f>
        <v>209.39244623662739</v>
      </c>
      <c r="C9">
        <f>C8*1000</f>
        <v>168.16198014625672</v>
      </c>
      <c r="D9">
        <f>D8*1000</f>
        <v>168.16198014625672</v>
      </c>
      <c r="E9">
        <f>E8*1000</f>
        <v>168.1619801462567</v>
      </c>
    </row>
    <row r="10" spans="1:16">
      <c r="B10" t="s">
        <v>384</v>
      </c>
    </row>
    <row r="13" spans="1:16">
      <c r="A13" t="s">
        <v>458</v>
      </c>
      <c r="B13" s="171">
        <f>-(PMT(Inputs!D24,Inputs!D25,(Intermediates!D61))/Results!C3)</f>
        <v>13.999267790007046</v>
      </c>
      <c r="C13" s="171">
        <f>-(PMT(Inputs!E24,Inputs!E25,(Intermediates!E61))/Results!D3)</f>
        <v>14.832901505619201</v>
      </c>
      <c r="D13" s="171">
        <f>-(PMT(Inputs!F24,Inputs!F25,(Intermediates!F61))/Results!E3)</f>
        <v>14.832901505619201</v>
      </c>
      <c r="E13" s="171">
        <f>-(PMT(Inputs!G24,Inputs!G25,(Intermediates!G61))/Results!F3)</f>
        <v>7.6674051305737203</v>
      </c>
      <c r="M13" s="14">
        <f>Intermediates!D11</f>
        <v>1727.9999613761902</v>
      </c>
      <c r="N13" s="14">
        <f>Intermediates!E11</f>
        <v>1728</v>
      </c>
      <c r="O13" s="14">
        <f>Intermediates!F11</f>
        <v>1728</v>
      </c>
      <c r="P13" s="14">
        <f>Intermediates!G11</f>
        <v>8640</v>
      </c>
    </row>
    <row r="14" spans="1:16">
      <c r="A14" t="s">
        <v>459</v>
      </c>
      <c r="B14" s="171">
        <f>(-PMT(Inputs!D24,Inputs!D25,Intermediates!D63)/Results!C3)+'Upgrading and Injection Capital'!C33</f>
        <v>38.194279893141179</v>
      </c>
      <c r="C14" s="171">
        <f>(-PMT(Inputs!E24,Inputs!E25,Intermediates!E63)/Results!D3)+'Upgrading and Injection Capital'!D33</f>
        <v>26.598386577105767</v>
      </c>
      <c r="D14" s="171">
        <f>(-PMT(Inputs!F24,Inputs!F25,Intermediates!F63)/Results!E3)+'Upgrading and Injection Capital'!E33</f>
        <v>9.5407745347896267</v>
      </c>
      <c r="E14" s="171">
        <f>(-PMT(Inputs!G24,Inputs!G25,Intermediates!G63)/Results!F3)+'Upgrading and Injection Capital'!F33</f>
        <v>9.5407745347896284</v>
      </c>
      <c r="M14" s="179">
        <f>Intermediates!D16*Inputs!D16</f>
        <v>996.41376790242498</v>
      </c>
      <c r="N14" s="179">
        <f>Intermediates!E16*Inputs!E16</f>
        <v>3985.6551743491132</v>
      </c>
      <c r="O14" s="179">
        <f>Intermediates!F16*Inputs!F16</f>
        <v>3985.6551743491132</v>
      </c>
      <c r="P14" s="179">
        <f>Intermediates!G16*Inputs!G16</f>
        <v>19928.275871745565</v>
      </c>
    </row>
    <row r="15" spans="1:16">
      <c r="A15" t="s">
        <v>123</v>
      </c>
      <c r="B15" s="171">
        <f>-PMT(Inputs!D24,Inputs!D25,Intermediates!D86)/Results!C3</f>
        <v>0</v>
      </c>
      <c r="C15" s="171">
        <f>-PMT(Inputs!E24,Inputs!E25,Intermediates!E86)/Results!D3</f>
        <v>0</v>
      </c>
      <c r="D15" s="171">
        <f>-PMT(Inputs!F24,Inputs!F25,Intermediates!F86)/Results!E3</f>
        <v>28.30694379805362</v>
      </c>
      <c r="E15" s="171">
        <f>-PMT(Inputs!G24,Inputs!G25,Intermediates!G86)/Results!F3</f>
        <v>0</v>
      </c>
      <c r="M15" s="162">
        <f>SUM(M13:M14)</f>
        <v>2724.4137292786154</v>
      </c>
      <c r="N15" s="162">
        <f>SUM(N13:N14)</f>
        <v>5713.6551743491127</v>
      </c>
      <c r="O15" s="162">
        <f>SUM(O13:O14)</f>
        <v>5713.6551743491127</v>
      </c>
      <c r="P15" s="162">
        <f>SUM(P13:P14)</f>
        <v>28568.275871745565</v>
      </c>
    </row>
    <row r="16" spans="1:16">
      <c r="A16" t="s">
        <v>460</v>
      </c>
      <c r="B16" s="171">
        <f>-PMT(Inputs!D24,Inputs!D25,(Intermediates!D71+Intermediates!D78)/Results!C3)</f>
        <v>1.7114696366054467</v>
      </c>
      <c r="C16" s="171">
        <f>-PMT(Inputs!E24,Inputs!E25,(Intermediates!E71+Intermediates!E78)/Results!D3)</f>
        <v>0.94639588711807199</v>
      </c>
      <c r="D16" s="171">
        <f>-PMT(Inputs!F24,Inputs!F25,(Intermediates!F71+Intermediates!F78)/Results!E3)</f>
        <v>0.94639588711807199</v>
      </c>
      <c r="E16" s="171">
        <f>-PMT(Inputs!G24,Inputs!G25,(Intermediates!G71+Intermediates!G78)/Results!F3)</f>
        <v>0.94639588711807221</v>
      </c>
      <c r="M16" s="4">
        <f>M14/M15</f>
        <v>0.36573511474935222</v>
      </c>
      <c r="N16" s="4">
        <f>N14/N15</f>
        <v>0.69756662814415471</v>
      </c>
      <c r="O16" s="4">
        <f>O14/O15</f>
        <v>0.69756662814415471</v>
      </c>
      <c r="P16" s="4">
        <f>P14/P15</f>
        <v>0.69756662814415471</v>
      </c>
    </row>
    <row r="17" spans="1:16">
      <c r="B17" s="171">
        <f>SUM(B13:B16)</f>
        <v>53.905017319753668</v>
      </c>
      <c r="C17" s="171">
        <f t="shared" ref="C17:E17" si="0">SUM(C13:C16)</f>
        <v>42.377683969843041</v>
      </c>
      <c r="D17" s="171">
        <f t="shared" si="0"/>
        <v>53.62701572558052</v>
      </c>
      <c r="E17" s="171">
        <f t="shared" si="0"/>
        <v>18.154575552481422</v>
      </c>
      <c r="M17" s="167">
        <f>M13/M15</f>
        <v>0.63426488525064773</v>
      </c>
      <c r="N17" s="167">
        <f>N13/N15</f>
        <v>0.30243337185584535</v>
      </c>
      <c r="O17" s="167">
        <f>O13/O15</f>
        <v>0.30243337185584535</v>
      </c>
      <c r="P17" s="167">
        <f>P13/P15</f>
        <v>0.30243337185584529</v>
      </c>
    </row>
    <row r="18" spans="1:16">
      <c r="B18">
        <f>Results!C36</f>
        <v>53.905017319753668</v>
      </c>
      <c r="C18">
        <f>Results!D36</f>
        <v>42.377683969843041</v>
      </c>
      <c r="D18">
        <f>Results!E36</f>
        <v>53.627015725580513</v>
      </c>
      <c r="E18">
        <f>Results!F36</f>
        <v>18.154575552481418</v>
      </c>
      <c r="M18" s="167">
        <f>M16+M17</f>
        <v>1</v>
      </c>
      <c r="N18" s="167">
        <f>N16+N17</f>
        <v>1</v>
      </c>
      <c r="O18" s="167">
        <f>O16+O17</f>
        <v>1</v>
      </c>
      <c r="P18" s="167">
        <f>P16+P17</f>
        <v>1</v>
      </c>
    </row>
    <row r="19" spans="1:16">
      <c r="B19" s="2">
        <f>B13/B$17</f>
        <v>0.25970250054769889</v>
      </c>
      <c r="C19" s="2">
        <f t="shared" ref="C19:E19" si="1">C13/C$17</f>
        <v>0.35001680403711172</v>
      </c>
      <c r="D19" s="2">
        <f t="shared" si="1"/>
        <v>0.27659382691593237</v>
      </c>
      <c r="E19" s="2">
        <f t="shared" si="1"/>
        <v>0.42234009318525306</v>
      </c>
    </row>
    <row r="20" spans="1:16">
      <c r="B20" s="2">
        <f t="shared" ref="B20:E22" si="2">B14/B$17</f>
        <v>0.7085477714733015</v>
      </c>
      <c r="C20" s="2">
        <f t="shared" si="2"/>
        <v>0.62765078422015241</v>
      </c>
      <c r="D20" s="2">
        <f t="shared" si="2"/>
        <v>0.17790985393652253</v>
      </c>
      <c r="E20" s="2">
        <f t="shared" si="2"/>
        <v>0.5255300244948754</v>
      </c>
    </row>
    <row r="21" spans="1:16">
      <c r="B21" s="2">
        <f t="shared" si="2"/>
        <v>0</v>
      </c>
      <c r="C21" s="2">
        <f t="shared" si="2"/>
        <v>0</v>
      </c>
      <c r="D21" s="2">
        <f t="shared" si="2"/>
        <v>0.52784857436232424</v>
      </c>
      <c r="E21" s="2">
        <f t="shared" si="2"/>
        <v>0</v>
      </c>
    </row>
    <row r="22" spans="1:16">
      <c r="B22" s="2">
        <f t="shared" si="2"/>
        <v>3.1749727978999706E-2</v>
      </c>
      <c r="C22" s="2">
        <f t="shared" si="2"/>
        <v>2.2332411742735862E-2</v>
      </c>
      <c r="D22" s="2">
        <f t="shared" si="2"/>
        <v>1.7647744785220885E-2</v>
      </c>
      <c r="E22" s="2">
        <f t="shared" si="2"/>
        <v>5.2129882319871479E-2</v>
      </c>
    </row>
    <row r="24" spans="1:16">
      <c r="B24" s="120">
        <f>SUM(B19:B22)</f>
        <v>1.0000000000000002</v>
      </c>
      <c r="C24" s="120">
        <f t="shared" ref="C24:E24" si="3">SUM(C19:C22)</f>
        <v>0.99999999999999989</v>
      </c>
      <c r="D24" s="120">
        <f t="shared" si="3"/>
        <v>1</v>
      </c>
      <c r="E24" s="120">
        <f t="shared" si="3"/>
        <v>1</v>
      </c>
    </row>
    <row r="29" spans="1:16">
      <c r="A29" t="s">
        <v>539</v>
      </c>
    </row>
    <row r="30" spans="1:16">
      <c r="A30">
        <v>0.67</v>
      </c>
      <c r="B30" t="s">
        <v>540</v>
      </c>
      <c r="C30">
        <f>A30*'Unit Conversions'!$B$19*kilo/'Unit Conversions'!$B$10/literperm3</f>
        <v>3.2104166666666663E-2</v>
      </c>
    </row>
    <row r="31" spans="1:16">
      <c r="A31">
        <v>1.29</v>
      </c>
      <c r="B31" t="s">
        <v>540</v>
      </c>
      <c r="C31">
        <f>A31*'Unit Conversions'!$B$19*kilo/'Unit Conversions'!$B$10/literperm3</f>
        <v>6.1812499999999992E-2</v>
      </c>
    </row>
    <row r="32" spans="1:16">
      <c r="A32">
        <v>2.02</v>
      </c>
      <c r="B32" t="s">
        <v>540</v>
      </c>
      <c r="C32">
        <f>A32*'Unit Conversions'!$B$19*kilo/'Unit Conversions'!$B$10/literperm3</f>
        <v>9.6791666666666665E-2</v>
      </c>
    </row>
    <row r="33" spans="1:3">
      <c r="A33">
        <v>0.1</v>
      </c>
      <c r="B33" t="s">
        <v>541</v>
      </c>
      <c r="C33">
        <f>A33*'Unit Conversions'!B19/literperm3*kilo/'Unit Conversions'!B10</f>
        <v>4.7916666666666663E-3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Principles</vt:lpstr>
      <vt:lpstr>Inputs</vt:lpstr>
      <vt:lpstr>Intermediates</vt:lpstr>
      <vt:lpstr>Upgrading and Injection Capital</vt:lpstr>
      <vt:lpstr>Results</vt:lpstr>
      <vt:lpstr>Digestate Land Balance</vt:lpstr>
      <vt:lpstr>All Sens Sheets--&gt;</vt:lpstr>
      <vt:lpstr>Distance Effects</vt:lpstr>
      <vt:lpstr>Sensitivity</vt:lpstr>
      <vt:lpstr>Intermediates Sensitivity</vt:lpstr>
      <vt:lpstr>Combined Sens</vt:lpstr>
      <vt:lpstr>S2 Combined Sens</vt:lpstr>
      <vt:lpstr>Combi_LCFSRINSENS</vt:lpstr>
      <vt:lpstr>LCFS Only Sens</vt:lpstr>
      <vt:lpstr>RIN Only Sens</vt:lpstr>
      <vt:lpstr>Unit Conversions</vt:lpstr>
      <vt:lpstr>HCER</vt:lpstr>
      <vt:lpstr>scratch</vt:lpstr>
      <vt:lpstr>acperha</vt:lpstr>
      <vt:lpstr>btuperrin</vt:lpstr>
      <vt:lpstr>btupgj</vt:lpstr>
      <vt:lpstr>cftom3</vt:lpstr>
      <vt:lpstr>ch4energybtupft3</vt:lpstr>
      <vt:lpstr>kilo</vt:lpstr>
      <vt:lpstr>kwhpergj</vt:lpstr>
      <vt:lpstr>lbperkg</vt:lpstr>
      <vt:lpstr>lbsperkg</vt:lpstr>
      <vt:lpstr>lbsperton</vt:lpstr>
      <vt:lpstr>literperm3</vt:lpstr>
      <vt:lpstr>literpgal</vt:lpstr>
      <vt:lpstr>m3pft3</vt:lpstr>
      <vt:lpstr>meterpermile</vt:lpstr>
      <vt:lpstr>million</vt:lpstr>
      <vt:lpstr>minperhr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Myers, Gabrielle M</dc:creator>
  <cp:lastModifiedBy>Administrator</cp:lastModifiedBy>
  <dcterms:created xsi:type="dcterms:W3CDTF">2020-06-21T18:55:58Z</dcterms:created>
  <dcterms:modified xsi:type="dcterms:W3CDTF">2023-05-19T18:04:12Z</dcterms:modified>
</cp:coreProperties>
</file>